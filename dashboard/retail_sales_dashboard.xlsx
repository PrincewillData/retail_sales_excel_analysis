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user\Desktop\Princewill Data\Data_Analytics_Portfolio\Project_3_retail_sales_excel_analysis\dashboard\"/>
    </mc:Choice>
  </mc:AlternateContent>
  <xr:revisionPtr revIDLastSave="0" documentId="8_{E33ACD9C-D367-42A2-9FA0-8EDF48D6224E}" xr6:coauthVersionLast="47" xr6:coauthVersionMax="47" xr10:uidLastSave="{00000000-0000-0000-0000-000000000000}"/>
  <bookViews>
    <workbookView xWindow="-120" yWindow="-120" windowWidth="20730" windowHeight="11160" tabRatio="590" activeTab="3" xr2:uid="{00000000-000D-0000-FFFF-FFFF00000000}"/>
  </bookViews>
  <sheets>
    <sheet name="sales_data" sheetId="1" r:id="rId1"/>
    <sheet name="CLEAN sales_data" sheetId="4" r:id="rId2"/>
    <sheet name="Pivot Table" sheetId="6" r:id="rId3"/>
    <sheet name="Dashboard" sheetId="7" r:id="rId4"/>
  </sheets>
  <definedNames>
    <definedName name="Slicer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1" i="4" l="1"/>
  <c r="G291" i="4"/>
  <c r="F291" i="4"/>
</calcChain>
</file>

<file path=xl/sharedStrings.xml><?xml version="1.0" encoding="utf-8"?>
<sst xmlns="http://schemas.openxmlformats.org/spreadsheetml/2006/main" count="1545" uniqueCount="254">
  <si>
    <t>order_id</t>
  </si>
  <si>
    <t>order_date</t>
  </si>
  <si>
    <t>product</t>
  </si>
  <si>
    <t>category</t>
  </si>
  <si>
    <t>quantity</t>
  </si>
  <si>
    <t>unit_price</t>
  </si>
  <si>
    <t>sales</t>
  </si>
  <si>
    <t>2024-10-18</t>
  </si>
  <si>
    <t>Tablet</t>
  </si>
  <si>
    <t>Electronics</t>
  </si>
  <si>
    <t>2024-06-10</t>
  </si>
  <si>
    <t>Chair</t>
  </si>
  <si>
    <t>Furniture</t>
  </si>
  <si>
    <t>2024-05-12</t>
  </si>
  <si>
    <t>Headset</t>
  </si>
  <si>
    <t>Accessories</t>
  </si>
  <si>
    <t>2024-04-24</t>
  </si>
  <si>
    <t>Phone</t>
  </si>
  <si>
    <t>2024-11-10</t>
  </si>
  <si>
    <t>Desk</t>
  </si>
  <si>
    <t>2024-12-13</t>
  </si>
  <si>
    <t>2024-01-24</t>
  </si>
  <si>
    <t>2024-03-08</t>
  </si>
  <si>
    <t>2024-10-16</t>
  </si>
  <si>
    <t>2024-10-19</t>
  </si>
  <si>
    <t>2024-10-26</t>
  </si>
  <si>
    <t>2024-03-23</t>
  </si>
  <si>
    <t>Laptop</t>
  </si>
  <si>
    <t>2024-09-17</t>
  </si>
  <si>
    <t>2024-12-18</t>
  </si>
  <si>
    <t>2024-02-03</t>
  </si>
  <si>
    <t>Keyboard</t>
  </si>
  <si>
    <t>2024-02-15</t>
  </si>
  <si>
    <t>2024-04-02</t>
  </si>
  <si>
    <t>2024-06-26</t>
  </si>
  <si>
    <t>Mouse</t>
  </si>
  <si>
    <t>2024-05-19</t>
  </si>
  <si>
    <t>2024-12-25</t>
  </si>
  <si>
    <t>2024-11-27</t>
  </si>
  <si>
    <t>2024-12-29</t>
  </si>
  <si>
    <t>2024-06-16</t>
  </si>
  <si>
    <t>2024-06-17</t>
  </si>
  <si>
    <t>2024-11-29</t>
  </si>
  <si>
    <t>2024-11-19</t>
  </si>
  <si>
    <t>2024-05-22</t>
  </si>
  <si>
    <t>2024-04-11</t>
  </si>
  <si>
    <t>2024-01-29</t>
  </si>
  <si>
    <t>2024-09-28</t>
  </si>
  <si>
    <t>2024-12-14</t>
  </si>
  <si>
    <t>2024-04-29</t>
  </si>
  <si>
    <t>2024-07-23</t>
  </si>
  <si>
    <t>2024-03-22</t>
  </si>
  <si>
    <t>2024-02-14</t>
  </si>
  <si>
    <t>2024-07-26</t>
  </si>
  <si>
    <t>2024-11-08</t>
  </si>
  <si>
    <t>2024-01-04</t>
  </si>
  <si>
    <t>2024-01-03</t>
  </si>
  <si>
    <t>2024-02-18</t>
  </si>
  <si>
    <t>2024-02-27</t>
  </si>
  <si>
    <t>2024-04-14</t>
  </si>
  <si>
    <t>2024-07-20</t>
  </si>
  <si>
    <t>2024-07-24</t>
  </si>
  <si>
    <t>2024-05-18</t>
  </si>
  <si>
    <t>2024-06-13</t>
  </si>
  <si>
    <t>2024-11-22</t>
  </si>
  <si>
    <t>2024-04-01</t>
  </si>
  <si>
    <t>2024-01-14</t>
  </si>
  <si>
    <t>2024-12-03</t>
  </si>
  <si>
    <t>2024-02-26</t>
  </si>
  <si>
    <t>2024-10-12</t>
  </si>
  <si>
    <t>2024-08-12</t>
  </si>
  <si>
    <t>2024-06-22</t>
  </si>
  <si>
    <t>2024-05-23</t>
  </si>
  <si>
    <t>2024-12-12</t>
  </si>
  <si>
    <t>2024-04-08</t>
  </si>
  <si>
    <t>2024-02-16</t>
  </si>
  <si>
    <t>2024-09-27</t>
  </si>
  <si>
    <t>2024-04-27</t>
  </si>
  <si>
    <t>2024-02-13</t>
  </si>
  <si>
    <t>2024-06-07</t>
  </si>
  <si>
    <t>2024-03-25</t>
  </si>
  <si>
    <t>2024-05-04</t>
  </si>
  <si>
    <t>2024-03-20</t>
  </si>
  <si>
    <t>2024-11-05</t>
  </si>
  <si>
    <t>2024-12-06</t>
  </si>
  <si>
    <t>2024-04-30</t>
  </si>
  <si>
    <t>2024-01-21</t>
  </si>
  <si>
    <t>2024-11-17</t>
  </si>
  <si>
    <t>2024-08-05</t>
  </si>
  <si>
    <t>2024-10-05</t>
  </si>
  <si>
    <t>2024-09-18</t>
  </si>
  <si>
    <t>2024-12-07</t>
  </si>
  <si>
    <t>2024-12-23</t>
  </si>
  <si>
    <t>2024-09-16</t>
  </si>
  <si>
    <t>2024-01-05</t>
  </si>
  <si>
    <t>2024-03-17</t>
  </si>
  <si>
    <t>2024-04-20</t>
  </si>
  <si>
    <t>2024-06-28</t>
  </si>
  <si>
    <t>2024-10-06</t>
  </si>
  <si>
    <t>2024-12-16</t>
  </si>
  <si>
    <t>2024-07-30</t>
  </si>
  <si>
    <t>2024-12-09</t>
  </si>
  <si>
    <t>2024-12-26</t>
  </si>
  <si>
    <t>2024-12-05</t>
  </si>
  <si>
    <t>2024-01-07</t>
  </si>
  <si>
    <t>2024-01-26</t>
  </si>
  <si>
    <t>2024-09-22</t>
  </si>
  <si>
    <t>2024-11-18</t>
  </si>
  <si>
    <t>2024-05-13</t>
  </si>
  <si>
    <t>2024-07-29</t>
  </si>
  <si>
    <t>2024-08-01</t>
  </si>
  <si>
    <t>2024-11-03</t>
  </si>
  <si>
    <t>2024-07-19</t>
  </si>
  <si>
    <t>2024-07-17</t>
  </si>
  <si>
    <t>2024-08-22</t>
  </si>
  <si>
    <t>2024-01-02</t>
  </si>
  <si>
    <t>2024-01-18</t>
  </si>
  <si>
    <t>2024-12-20</t>
  </si>
  <si>
    <t>2024-06-30</t>
  </si>
  <si>
    <t>2024-02-29</t>
  </si>
  <si>
    <t>2024-01-25</t>
  </si>
  <si>
    <t>2024-04-03</t>
  </si>
  <si>
    <t>2024-04-05</t>
  </si>
  <si>
    <t>2024-11-30</t>
  </si>
  <si>
    <t>2024-07-09</t>
  </si>
  <si>
    <t>2024-03-13</t>
  </si>
  <si>
    <t>2024-03-30</t>
  </si>
  <si>
    <t>2024-11-11</t>
  </si>
  <si>
    <t>2024-05-01</t>
  </si>
  <si>
    <t>2024-08-19</t>
  </si>
  <si>
    <t>2024-01-30</t>
  </si>
  <si>
    <t>2024-08-10</t>
  </si>
  <si>
    <t>2024-08-04</t>
  </si>
  <si>
    <t>2024-02-08</t>
  </si>
  <si>
    <t>2024-01-27</t>
  </si>
  <si>
    <t>2024-05-29</t>
  </si>
  <si>
    <t>2024-02-28</t>
  </si>
  <si>
    <t>2024-04-07</t>
  </si>
  <si>
    <t>2024-12-10</t>
  </si>
  <si>
    <t>2024-07-25</t>
  </si>
  <si>
    <t>2024-12-28</t>
  </si>
  <si>
    <t>2024-09-11</t>
  </si>
  <si>
    <t>2024-09-12</t>
  </si>
  <si>
    <t>2024-09-26</t>
  </si>
  <si>
    <t>2024-01-31</t>
  </si>
  <si>
    <t>2024-04-12</t>
  </si>
  <si>
    <t>2024-02-20</t>
  </si>
  <si>
    <t>2024-04-25</t>
  </si>
  <si>
    <t>2024-02-07</t>
  </si>
  <si>
    <t>2024-06-27</t>
  </si>
  <si>
    <t>2024-07-31</t>
  </si>
  <si>
    <t>2024-09-04</t>
  </si>
  <si>
    <t>2024-05-11</t>
  </si>
  <si>
    <t>2024-10-07</t>
  </si>
  <si>
    <t>2024-08-09</t>
  </si>
  <si>
    <t>2024-07-21</t>
  </si>
  <si>
    <t>2024-11-16</t>
  </si>
  <si>
    <t>2024-12-04</t>
  </si>
  <si>
    <t>2024-08-16</t>
  </si>
  <si>
    <t>2024-11-02</t>
  </si>
  <si>
    <t>2024-09-14</t>
  </si>
  <si>
    <t>2024-09-01</t>
  </si>
  <si>
    <t>2024-11-25</t>
  </si>
  <si>
    <t>2024-06-21</t>
  </si>
  <si>
    <t>2024-12-17</t>
  </si>
  <si>
    <t>2024-12-22</t>
  </si>
  <si>
    <t>2024-06-05</t>
  </si>
  <si>
    <t>2024-11-23</t>
  </si>
  <si>
    <t>2024-06-20</t>
  </si>
  <si>
    <t>2024-06-23</t>
  </si>
  <si>
    <t>2024-11-04</t>
  </si>
  <si>
    <t>2024-11-07</t>
  </si>
  <si>
    <t>2024-08-31</t>
  </si>
  <si>
    <t>2024-03-21</t>
  </si>
  <si>
    <t>2024-03-19</t>
  </si>
  <si>
    <t>2024-01-12</t>
  </si>
  <si>
    <t>2024-10-11</t>
  </si>
  <si>
    <t>2024-05-27</t>
  </si>
  <si>
    <t>2024-03-05</t>
  </si>
  <si>
    <t>2024-10-15</t>
  </si>
  <si>
    <t>2024-02-04</t>
  </si>
  <si>
    <t>2024-10-02</t>
  </si>
  <si>
    <t>2024-03-07</t>
  </si>
  <si>
    <t>2024-12-19</t>
  </si>
  <si>
    <t>2024-07-13</t>
  </si>
  <si>
    <t>2024-04-15</t>
  </si>
  <si>
    <t>2024-03-06</t>
  </si>
  <si>
    <t>2024-06-11</t>
  </si>
  <si>
    <t>2024-09-19</t>
  </si>
  <si>
    <t>2024-11-09</t>
  </si>
  <si>
    <t>2024-08-15</t>
  </si>
  <si>
    <t>2024-03-31</t>
  </si>
  <si>
    <t>2024-03-11</t>
  </si>
  <si>
    <t>2024-03-12</t>
  </si>
  <si>
    <t>2024-04-16</t>
  </si>
  <si>
    <t>2024-04-19</t>
  </si>
  <si>
    <t>2024-01-08</t>
  </si>
  <si>
    <t>2024-02-01</t>
  </si>
  <si>
    <t>2024-08-27</t>
  </si>
  <si>
    <t>2024-09-07</t>
  </si>
  <si>
    <t>2024-11-24</t>
  </si>
  <si>
    <t>2024-06-24</t>
  </si>
  <si>
    <t>2024-09-20</t>
  </si>
  <si>
    <t>2024-12-21</t>
  </si>
  <si>
    <t>2024-02-23</t>
  </si>
  <si>
    <t>2024-07-06</t>
  </si>
  <si>
    <t>2024-05-16</t>
  </si>
  <si>
    <t>2024-02-25</t>
  </si>
  <si>
    <t>2024-03-16</t>
  </si>
  <si>
    <t>2024-10-08</t>
  </si>
  <si>
    <t>2024-11-12</t>
  </si>
  <si>
    <t>2024-07-04</t>
  </si>
  <si>
    <t>2024-07-10</t>
  </si>
  <si>
    <t>2024-06-04</t>
  </si>
  <si>
    <t>2024-11-14</t>
  </si>
  <si>
    <t>2024-10-25</t>
  </si>
  <si>
    <t>2024-02-22</t>
  </si>
  <si>
    <t>2024-07-02</t>
  </si>
  <si>
    <t>2024-04-10</t>
  </si>
  <si>
    <t>2024-07-11</t>
  </si>
  <si>
    <t>LAPTOp</t>
  </si>
  <si>
    <t>DESK</t>
  </si>
  <si>
    <t>KEYBOARD</t>
  </si>
  <si>
    <t>MOuse</t>
  </si>
  <si>
    <t>TABLET</t>
  </si>
  <si>
    <t>HEADSET</t>
  </si>
  <si>
    <t>LAPTOP</t>
  </si>
  <si>
    <t>PHONE</t>
  </si>
  <si>
    <t>CHAIR</t>
  </si>
  <si>
    <t>MOUSE</t>
  </si>
  <si>
    <t>sales_total</t>
  </si>
  <si>
    <t>Sum of sales_total</t>
  </si>
  <si>
    <t>Row Labels</t>
  </si>
  <si>
    <t>Grand Total</t>
  </si>
  <si>
    <t>Jan</t>
  </si>
  <si>
    <t>Feb</t>
  </si>
  <si>
    <t>Mar</t>
  </si>
  <si>
    <t>Apr</t>
  </si>
  <si>
    <t>May</t>
  </si>
  <si>
    <t>Jun</t>
  </si>
  <si>
    <t>Jul</t>
  </si>
  <si>
    <t>Aug</t>
  </si>
  <si>
    <t>Sep</t>
  </si>
  <si>
    <t>Oct</t>
  </si>
  <si>
    <t>Nov</t>
  </si>
  <si>
    <t>Dec</t>
  </si>
  <si>
    <t>Sum of quantity</t>
  </si>
  <si>
    <t>Count of order_id</t>
  </si>
  <si>
    <t>MONTHLY SALES</t>
  </si>
  <si>
    <t>SALES BY CATEGORY</t>
  </si>
  <si>
    <t>SALES BY PRODUCT</t>
  </si>
  <si>
    <t>QUANTITY BY CATEGORY</t>
  </si>
  <si>
    <t>ORDERS BY CATEGORY</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</si>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</sst>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dd/m/yyyy"/>
    <numFmt numFmtId="165" formatCode="_(&quot;$&quot;* #,##0_);_(&quot;$&quot;* \(#,##0\);_(&quot;$&quot;* &quot;-&quot;??_);_(@_)"/>
  </numFmts>
  <fonts count="4" x14ac:knownFonts="1">
    <font>
      <sz val="11"/>
      <color theme="1"/>
      <name val="Calibri"/>
      <family val="2"/>
      <scheme val="minor"/>
    </font>
    <font>
      <sz val="11"/>
      <color theme="1"/>
      <name val="Calibri"/>
      <family val="2"/>
      <scheme val="minor"/>
    </font>
    <font>
      <b/>
      <u/>
      <sz val="11"/>
      <color theme="1"/>
      <name val="Calibri"/>
      <family val="2"/>
      <scheme val="minor"/>
    </font>
    <font>
      <b/>
      <u/>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164" fontId="0" fillId="0" borderId="0" xfId="0" applyNumberFormat="1"/>
    <xf numFmtId="44" fontId="0" fillId="0" borderId="0" xfId="1" applyFont="1"/>
    <xf numFmtId="44" fontId="0" fillId="0" borderId="0" xfId="0" applyNumberFormat="1"/>
    <xf numFmtId="44" fontId="1" fillId="0" borderId="0" xfId="1" applyFont="1"/>
    <xf numFmtId="0" fontId="0" fillId="0" borderId="0" xfId="0" pivotButton="1"/>
    <xf numFmtId="0" fontId="0" fillId="0" borderId="0" xfId="0" applyAlignment="1">
      <alignment horizontal="left"/>
    </xf>
    <xf numFmtId="165" fontId="0" fillId="0" borderId="0" xfId="0" applyNumberFormat="1"/>
    <xf numFmtId="0" fontId="2" fillId="0" borderId="0" xfId="0" applyFont="1"/>
    <xf numFmtId="0" fontId="3" fillId="0" borderId="0" xfId="0" applyFont="1"/>
  </cellXfs>
  <cellStyles count="2">
    <cellStyle name="Currency" xfId="1" builtinId="4"/>
    <cellStyle name="Normal" xfId="0" builtinId="0"/>
  </cellStyles>
  <dxfs count="11">
    <dxf>
      <numFmt numFmtId="165" formatCode="_(&quot;$&quot;* #,##0_);_(&quot;$&quot;* \(#,##0\);_(&quot;$&quot;* &quot;-&quot;??_);_(@_)"/>
    </dxf>
    <dxf>
      <numFmt numFmtId="165" formatCode="_(&quot;$&quot;* #,##0_);_(&quot;$&quot;* \(#,##0\);_(&quot;$&quot;* &quot;-&quot;??_);_(@_)"/>
    </dxf>
    <dxf>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34" formatCode="_(&quot;$&quot;* #,##0.00_);_(&quot;$&quot;* \(#,##0.00\);_(&quot;$&quot;* &quot;-&quot;??_);_(@_)"/>
    </dxf>
    <dxf>
      <numFmt numFmtId="164" formatCode="dd/m/yyyy"/>
    </dxf>
    <dxf>
      <numFmt numFmtId="164" formatCode="dd/m/yyyy"/>
    </dxf>
    <dxf>
      <fill>
        <patternFill>
          <bgColor rgb="FF2E7D6B"/>
        </patternFill>
      </fill>
    </dxf>
    <dxf>
      <font>
        <sz val="12"/>
        <color theme="1"/>
      </font>
    </dxf>
  </dxfs>
  <tableStyles count="1" defaultTableStyle="TableStyleMedium9" defaultPivotStyle="PivotStyleLight16">
    <tableStyle name="Slicer Style 1" pivot="0" table="0" count="4" xr9:uid="{492B9767-9F77-4C1C-AB7C-C451BAC1AE6D}">
      <tableStyleElement type="wholeTable" dxfId="10"/>
      <tableStyleElement type="headerRow" dxfId="9"/>
    </tableStyle>
  </tableStyles>
  <colors>
    <mruColors>
      <color rgb="FF2E7D6B"/>
      <color rgb="FFD9D9D9"/>
      <color rgb="FFDCF0EB"/>
      <color rgb="FFC6EFCE"/>
    </mruColors>
  </colors>
  <extLst>
    <ext xmlns:x14="http://schemas.microsoft.com/office/spreadsheetml/2009/9/main" uri="{46F421CA-312F-682f-3DD2-61675219B42D}">
      <x14:dxfs count="2">
        <dxf>
          <fill>
            <patternFill>
              <bgColor rgb="FFC6EFCE"/>
            </patternFill>
          </fill>
        </dxf>
        <dxf>
          <fill>
            <patternFill>
              <bgColor rgb="FFD9D9D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_("$"* #,##0.00_);_("$"* \(#,##0.00\);_("$"* "-"??_);_(@_)</c:formatCode>
                <c:ptCount val="12"/>
                <c:pt idx="0">
                  <c:v>10560</c:v>
                </c:pt>
                <c:pt idx="1">
                  <c:v>15100</c:v>
                </c:pt>
                <c:pt idx="2">
                  <c:v>25390</c:v>
                </c:pt>
                <c:pt idx="3">
                  <c:v>27440</c:v>
                </c:pt>
                <c:pt idx="4">
                  <c:v>9120</c:v>
                </c:pt>
                <c:pt idx="5">
                  <c:v>12450</c:v>
                </c:pt>
                <c:pt idx="6">
                  <c:v>15670</c:v>
                </c:pt>
                <c:pt idx="7">
                  <c:v>11180</c:v>
                </c:pt>
                <c:pt idx="8">
                  <c:v>13240</c:v>
                </c:pt>
                <c:pt idx="9">
                  <c:v>11350</c:v>
                </c:pt>
                <c:pt idx="10">
                  <c:v>27900</c:v>
                </c:pt>
                <c:pt idx="11">
                  <c:v>21970</c:v>
                </c:pt>
              </c:numCache>
            </c:numRef>
          </c:val>
          <c:smooth val="0"/>
          <c:extLst>
            <c:ext xmlns:c16="http://schemas.microsoft.com/office/drawing/2014/chart" uri="{C3380CC4-5D6E-409C-BE32-E72D297353CC}">
              <c16:uniqueId val="{00000000-75A1-4436-81A7-D2CFFA34B6AC}"/>
            </c:ext>
          </c:extLst>
        </c:ser>
        <c:dLbls>
          <c:showLegendKey val="0"/>
          <c:showVal val="0"/>
          <c:showCatName val="0"/>
          <c:showSerName val="0"/>
          <c:showPercent val="0"/>
          <c:showBubbleSize val="0"/>
        </c:dLbls>
        <c:smooth val="0"/>
        <c:axId val="1332272624"/>
        <c:axId val="1332273104"/>
      </c:lineChart>
      <c:catAx>
        <c:axId val="133227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73104"/>
        <c:crosses val="autoZero"/>
        <c:auto val="1"/>
        <c:lblAlgn val="ctr"/>
        <c:lblOffset val="100"/>
        <c:noMultiLvlLbl val="0"/>
      </c:catAx>
      <c:valAx>
        <c:axId val="133227310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7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Total</c:v>
                </c:pt>
              </c:strCache>
            </c:strRef>
          </c:tx>
          <c:spPr>
            <a:solidFill>
              <a:schemeClr val="accent1"/>
            </a:solidFill>
            <a:ln>
              <a:noFill/>
            </a:ln>
            <a:effectLst/>
          </c:spPr>
          <c:invertIfNegative val="0"/>
          <c:cat>
            <c:strRef>
              <c:f>'Pivot Table'!$A$20:$A$23</c:f>
              <c:strCache>
                <c:ptCount val="3"/>
                <c:pt idx="0">
                  <c:v>Electronics</c:v>
                </c:pt>
                <c:pt idx="1">
                  <c:v>Furniture</c:v>
                </c:pt>
                <c:pt idx="2">
                  <c:v>Accessories</c:v>
                </c:pt>
              </c:strCache>
            </c:strRef>
          </c:cat>
          <c:val>
            <c:numRef>
              <c:f>'Pivot Table'!$B$20:$B$23</c:f>
              <c:numCache>
                <c:formatCode>_("$"* #,##0.00_);_("$"* \(#,##0.00\);_("$"* "-"??_);_(@_)</c:formatCode>
                <c:ptCount val="3"/>
                <c:pt idx="0">
                  <c:v>150400</c:v>
                </c:pt>
                <c:pt idx="1">
                  <c:v>40480</c:v>
                </c:pt>
                <c:pt idx="2">
                  <c:v>10490</c:v>
                </c:pt>
              </c:numCache>
            </c:numRef>
          </c:val>
          <c:extLst>
            <c:ext xmlns:c16="http://schemas.microsoft.com/office/drawing/2014/chart" uri="{C3380CC4-5D6E-409C-BE32-E72D297353CC}">
              <c16:uniqueId val="{00000000-A5B5-430F-B5D5-163EE5ED43D9}"/>
            </c:ext>
          </c:extLst>
        </c:ser>
        <c:dLbls>
          <c:showLegendKey val="0"/>
          <c:showVal val="0"/>
          <c:showCatName val="0"/>
          <c:showSerName val="0"/>
          <c:showPercent val="0"/>
          <c:showBubbleSize val="0"/>
        </c:dLbls>
        <c:gapWidth val="219"/>
        <c:overlap val="-27"/>
        <c:axId val="1332280304"/>
        <c:axId val="1332293744"/>
      </c:barChart>
      <c:catAx>
        <c:axId val="133228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93744"/>
        <c:crosses val="autoZero"/>
        <c:auto val="1"/>
        <c:lblAlgn val="ctr"/>
        <c:lblOffset val="100"/>
        <c:noMultiLvlLbl val="0"/>
      </c:catAx>
      <c:valAx>
        <c:axId val="13322937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8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Table'!$B$26</c:f>
              <c:strCache>
                <c:ptCount val="1"/>
                <c:pt idx="0">
                  <c:v>Total</c:v>
                </c:pt>
              </c:strCache>
            </c:strRef>
          </c:tx>
          <c:spPr>
            <a:solidFill>
              <a:schemeClr val="accent1"/>
            </a:solidFill>
            <a:ln>
              <a:noFill/>
            </a:ln>
            <a:effectLst/>
          </c:spPr>
          <c:invertIfNegative val="0"/>
          <c:cat>
            <c:strRef>
              <c:f>'Pivot Table'!$A$27:$A$35</c:f>
              <c:strCache>
                <c:ptCount val="8"/>
                <c:pt idx="0">
                  <c:v>Mouse</c:v>
                </c:pt>
                <c:pt idx="1">
                  <c:v>Keyboard</c:v>
                </c:pt>
                <c:pt idx="2">
                  <c:v>Headset</c:v>
                </c:pt>
                <c:pt idx="3">
                  <c:v>Chair</c:v>
                </c:pt>
                <c:pt idx="4">
                  <c:v>Tablet</c:v>
                </c:pt>
                <c:pt idx="5">
                  <c:v>Desk</c:v>
                </c:pt>
                <c:pt idx="6">
                  <c:v>Phone</c:v>
                </c:pt>
                <c:pt idx="7">
                  <c:v>Laptop</c:v>
                </c:pt>
              </c:strCache>
            </c:strRef>
          </c:cat>
          <c:val>
            <c:numRef>
              <c:f>'Pivot Table'!$B$27:$B$35</c:f>
              <c:numCache>
                <c:formatCode>_("$"* #,##0.00_);_("$"* \(#,##0.00\);_("$"* "-"??_);_(@_)</c:formatCode>
                <c:ptCount val="8"/>
                <c:pt idx="0">
                  <c:v>1980</c:v>
                </c:pt>
                <c:pt idx="1">
                  <c:v>3960</c:v>
                </c:pt>
                <c:pt idx="2">
                  <c:v>4550</c:v>
                </c:pt>
                <c:pt idx="3">
                  <c:v>11280</c:v>
                </c:pt>
                <c:pt idx="4">
                  <c:v>29100</c:v>
                </c:pt>
                <c:pt idx="5">
                  <c:v>29200</c:v>
                </c:pt>
                <c:pt idx="6">
                  <c:v>56500</c:v>
                </c:pt>
                <c:pt idx="7">
                  <c:v>64800</c:v>
                </c:pt>
              </c:numCache>
            </c:numRef>
          </c:val>
          <c:extLst>
            <c:ext xmlns:c16="http://schemas.microsoft.com/office/drawing/2014/chart" uri="{C3380CC4-5D6E-409C-BE32-E72D297353CC}">
              <c16:uniqueId val="{00000000-DD8B-4E89-9F8D-CA4898255032}"/>
            </c:ext>
          </c:extLst>
        </c:ser>
        <c:dLbls>
          <c:showLegendKey val="0"/>
          <c:showVal val="0"/>
          <c:showCatName val="0"/>
          <c:showSerName val="0"/>
          <c:showPercent val="0"/>
          <c:showBubbleSize val="0"/>
        </c:dLbls>
        <c:gapWidth val="182"/>
        <c:axId val="1332275024"/>
        <c:axId val="1332279344"/>
      </c:barChart>
      <c:catAx>
        <c:axId val="133227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79344"/>
        <c:crosses val="autoZero"/>
        <c:auto val="1"/>
        <c:lblAlgn val="ctr"/>
        <c:lblOffset val="100"/>
        <c:noMultiLvlLbl val="0"/>
      </c:catAx>
      <c:valAx>
        <c:axId val="133227934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7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41-4C8E-AEBB-7A0DA4CAA8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41-4C8E-AEBB-7A0DA4CAA8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41-4C8E-AEBB-7A0DA4CAA830}"/>
              </c:ext>
            </c:extLst>
          </c:dPt>
          <c:cat>
            <c:strRef>
              <c:f>'Pivot Table'!$A$39:$A$42</c:f>
              <c:strCache>
                <c:ptCount val="3"/>
                <c:pt idx="0">
                  <c:v>Accessories</c:v>
                </c:pt>
                <c:pt idx="1">
                  <c:v>Electronics</c:v>
                </c:pt>
                <c:pt idx="2">
                  <c:v>Furniture</c:v>
                </c:pt>
              </c:strCache>
            </c:strRef>
          </c:cat>
          <c:val>
            <c:numRef>
              <c:f>'Pivot Table'!$B$39:$B$42</c:f>
              <c:numCache>
                <c:formatCode>General</c:formatCode>
                <c:ptCount val="3"/>
                <c:pt idx="0">
                  <c:v>322</c:v>
                </c:pt>
                <c:pt idx="1">
                  <c:v>291</c:v>
                </c:pt>
                <c:pt idx="2">
                  <c:v>240</c:v>
                </c:pt>
              </c:numCache>
            </c:numRef>
          </c:val>
          <c:extLst>
            <c:ext xmlns:c16="http://schemas.microsoft.com/office/drawing/2014/chart" uri="{C3380CC4-5D6E-409C-BE32-E72D297353CC}">
              <c16:uniqueId val="{00000002-CA5B-4C16-A16F-A492343B8F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Monthly Sales</a:t>
            </a:r>
          </a:p>
        </c:rich>
      </c:tx>
      <c:layout>
        <c:manualLayout>
          <c:xMode val="edge"/>
          <c:yMode val="edge"/>
          <c:x val="2.225533535375477E-2"/>
          <c:y val="3.10478654592496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E7D6B"/>
            </a:solidFill>
            <a:round/>
          </a:ln>
          <a:effectLst/>
        </c:spPr>
        <c:marker>
          <c:symbol val="none"/>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rgbClr val="2E7D6B"/>
              </a:solidFill>
              <a:round/>
            </a:ln>
            <a:effectLst/>
          </c:spPr>
          <c:marker>
            <c:symbol val="none"/>
          </c:marker>
          <c:dLbls>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_("$"* #,##0.00_);_("$"* \(#,##0.00\);_("$"* "-"??_);_(@_)</c:formatCode>
                <c:ptCount val="12"/>
                <c:pt idx="0">
                  <c:v>10560</c:v>
                </c:pt>
                <c:pt idx="1">
                  <c:v>15100</c:v>
                </c:pt>
                <c:pt idx="2">
                  <c:v>25390</c:v>
                </c:pt>
                <c:pt idx="3">
                  <c:v>27440</c:v>
                </c:pt>
                <c:pt idx="4">
                  <c:v>9120</c:v>
                </c:pt>
                <c:pt idx="5">
                  <c:v>12450</c:v>
                </c:pt>
                <c:pt idx="6">
                  <c:v>15670</c:v>
                </c:pt>
                <c:pt idx="7">
                  <c:v>11180</c:v>
                </c:pt>
                <c:pt idx="8">
                  <c:v>13240</c:v>
                </c:pt>
                <c:pt idx="9">
                  <c:v>11350</c:v>
                </c:pt>
                <c:pt idx="10">
                  <c:v>27900</c:v>
                </c:pt>
                <c:pt idx="11">
                  <c:v>21970</c:v>
                </c:pt>
              </c:numCache>
            </c:numRef>
          </c:val>
          <c:smooth val="1"/>
          <c:extLst>
            <c:ext xmlns:c16="http://schemas.microsoft.com/office/drawing/2014/chart" uri="{C3380CC4-5D6E-409C-BE32-E72D297353CC}">
              <c16:uniqueId val="{00000000-AF02-4829-B994-672EB88A2BF2}"/>
            </c:ext>
          </c:extLst>
        </c:ser>
        <c:dLbls>
          <c:dLblPos val="t"/>
          <c:showLegendKey val="0"/>
          <c:showVal val="1"/>
          <c:showCatName val="0"/>
          <c:showSerName val="0"/>
          <c:showPercent val="0"/>
          <c:showBubbleSize val="0"/>
        </c:dLbls>
        <c:smooth val="0"/>
        <c:axId val="1332272624"/>
        <c:axId val="1332273104"/>
      </c:lineChart>
      <c:catAx>
        <c:axId val="133227262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73104"/>
        <c:crosses val="autoZero"/>
        <c:auto val="1"/>
        <c:lblAlgn val="ctr"/>
        <c:lblOffset val="100"/>
        <c:noMultiLvlLbl val="0"/>
      </c:catAx>
      <c:valAx>
        <c:axId val="1332273104"/>
        <c:scaling>
          <c:orientation val="minMax"/>
        </c:scaling>
        <c:delete val="1"/>
        <c:axPos val="l"/>
        <c:majorGridlines>
          <c:spPr>
            <a:ln w="9525" cap="flat" cmpd="sng" algn="ctr">
              <a:solidFill>
                <a:srgbClr val="2E7D6B">
                  <a:alpha val="25000"/>
                </a:srgbClr>
              </a:solidFill>
              <a:round/>
            </a:ln>
            <a:effectLst/>
          </c:spPr>
        </c:majorGridlines>
        <c:numFmt formatCode="&quot;$&quot;#,##0" sourceLinked="0"/>
        <c:majorTickMark val="out"/>
        <c:minorTickMark val="none"/>
        <c:tickLblPos val="nextTo"/>
        <c:crossAx val="1332272624"/>
        <c:crosses val="autoZero"/>
        <c:crossBetween val="between"/>
      </c:valAx>
      <c:spPr>
        <a:solidFill>
          <a:srgbClr val="C6EFCE"/>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6EFC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a:t>
            </a:r>
            <a:r>
              <a:rPr lang="en-US" baseline="0"/>
              <a:t> Category</a:t>
            </a:r>
            <a:endParaRPr lang="en-US"/>
          </a:p>
        </c:rich>
      </c:tx>
      <c:layout>
        <c:manualLayout>
          <c:xMode val="edge"/>
          <c:yMode val="edge"/>
          <c:x val="3.525528962493818E-2"/>
          <c:y val="3.59435173299101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7D6B"/>
          </a:solidFill>
          <a:ln>
            <a:noFill/>
          </a:ln>
          <a:effectLst/>
        </c:spPr>
        <c:marker>
          <c:symbol val="none"/>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Total</c:v>
                </c:pt>
              </c:strCache>
            </c:strRef>
          </c:tx>
          <c:spPr>
            <a:solidFill>
              <a:srgbClr val="2E7D6B"/>
            </a:solidFill>
            <a:ln>
              <a:noFill/>
            </a:ln>
            <a:effectLst/>
          </c:spPr>
          <c:invertIfNegative val="0"/>
          <c:dLbls>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Table'!$A$20:$A$23</c:f>
              <c:strCache>
                <c:ptCount val="3"/>
                <c:pt idx="0">
                  <c:v>Electronics</c:v>
                </c:pt>
                <c:pt idx="1">
                  <c:v>Furniture</c:v>
                </c:pt>
                <c:pt idx="2">
                  <c:v>Accessories</c:v>
                </c:pt>
              </c:strCache>
            </c:strRef>
          </c:cat>
          <c:val>
            <c:numRef>
              <c:f>'Pivot Table'!$B$20:$B$23</c:f>
              <c:numCache>
                <c:formatCode>_("$"* #,##0.00_);_("$"* \(#,##0.00\);_("$"* "-"??_);_(@_)</c:formatCode>
                <c:ptCount val="3"/>
                <c:pt idx="0">
                  <c:v>150400</c:v>
                </c:pt>
                <c:pt idx="1">
                  <c:v>40480</c:v>
                </c:pt>
                <c:pt idx="2">
                  <c:v>10490</c:v>
                </c:pt>
              </c:numCache>
            </c:numRef>
          </c:val>
          <c:extLst>
            <c:ext xmlns:c16="http://schemas.microsoft.com/office/drawing/2014/chart" uri="{C3380CC4-5D6E-409C-BE32-E72D297353CC}">
              <c16:uniqueId val="{00000000-BD26-4ED6-8D33-EDC197FEE7E1}"/>
            </c:ext>
          </c:extLst>
        </c:ser>
        <c:dLbls>
          <c:dLblPos val="outEnd"/>
          <c:showLegendKey val="0"/>
          <c:showVal val="1"/>
          <c:showCatName val="0"/>
          <c:showSerName val="0"/>
          <c:showPercent val="0"/>
          <c:showBubbleSize val="0"/>
        </c:dLbls>
        <c:gapWidth val="219"/>
        <c:overlap val="-27"/>
        <c:axId val="1332280304"/>
        <c:axId val="1332293744"/>
      </c:barChart>
      <c:catAx>
        <c:axId val="13322803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93744"/>
        <c:crosses val="autoZero"/>
        <c:auto val="1"/>
        <c:lblAlgn val="ctr"/>
        <c:lblOffset val="100"/>
        <c:noMultiLvlLbl val="0"/>
      </c:catAx>
      <c:valAx>
        <c:axId val="1332293744"/>
        <c:scaling>
          <c:orientation val="minMax"/>
        </c:scaling>
        <c:delete val="1"/>
        <c:axPos val="l"/>
        <c:majorGridlines>
          <c:spPr>
            <a:ln w="9525" cap="flat" cmpd="sng" algn="ctr">
              <a:noFill/>
              <a:round/>
            </a:ln>
            <a:effectLst/>
          </c:spPr>
        </c:majorGridlines>
        <c:numFmt formatCode="&quot;$&quot;#,##0" sourceLinked="0"/>
        <c:majorTickMark val="none"/>
        <c:minorTickMark val="none"/>
        <c:tickLblPos val="nextTo"/>
        <c:crossAx val="133228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6EFC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a:t>
            </a:r>
          </a:p>
        </c:rich>
      </c:tx>
      <c:layout>
        <c:manualLayout>
          <c:xMode val="edge"/>
          <c:yMode val="edge"/>
          <c:x val="2.1057880921954372E-2"/>
          <c:y val="4.3272472191260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7D6B"/>
          </a:solidFill>
          <a:ln>
            <a:noFill/>
          </a:ln>
          <a:effectLst/>
        </c:spPr>
        <c:marker>
          <c:symbol val="none"/>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Table'!$B$26</c:f>
              <c:strCache>
                <c:ptCount val="1"/>
                <c:pt idx="0">
                  <c:v>Total</c:v>
                </c:pt>
              </c:strCache>
            </c:strRef>
          </c:tx>
          <c:spPr>
            <a:solidFill>
              <a:srgbClr val="2E7D6B"/>
            </a:solidFill>
            <a:ln>
              <a:noFill/>
            </a:ln>
            <a:effectLst/>
          </c:spPr>
          <c:invertIfNegative val="0"/>
          <c:dLbls>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Table'!$A$27:$A$35</c:f>
              <c:strCache>
                <c:ptCount val="8"/>
                <c:pt idx="0">
                  <c:v>Mouse</c:v>
                </c:pt>
                <c:pt idx="1">
                  <c:v>Keyboard</c:v>
                </c:pt>
                <c:pt idx="2">
                  <c:v>Headset</c:v>
                </c:pt>
                <c:pt idx="3">
                  <c:v>Chair</c:v>
                </c:pt>
                <c:pt idx="4">
                  <c:v>Tablet</c:v>
                </c:pt>
                <c:pt idx="5">
                  <c:v>Desk</c:v>
                </c:pt>
                <c:pt idx="6">
                  <c:v>Phone</c:v>
                </c:pt>
                <c:pt idx="7">
                  <c:v>Laptop</c:v>
                </c:pt>
              </c:strCache>
            </c:strRef>
          </c:cat>
          <c:val>
            <c:numRef>
              <c:f>'Pivot Table'!$B$27:$B$35</c:f>
              <c:numCache>
                <c:formatCode>_("$"* #,##0.00_);_("$"* \(#,##0.00\);_("$"* "-"??_);_(@_)</c:formatCode>
                <c:ptCount val="8"/>
                <c:pt idx="0">
                  <c:v>1980</c:v>
                </c:pt>
                <c:pt idx="1">
                  <c:v>3960</c:v>
                </c:pt>
                <c:pt idx="2">
                  <c:v>4550</c:v>
                </c:pt>
                <c:pt idx="3">
                  <c:v>11280</c:v>
                </c:pt>
                <c:pt idx="4">
                  <c:v>29100</c:v>
                </c:pt>
                <c:pt idx="5">
                  <c:v>29200</c:v>
                </c:pt>
                <c:pt idx="6">
                  <c:v>56500</c:v>
                </c:pt>
                <c:pt idx="7">
                  <c:v>64800</c:v>
                </c:pt>
              </c:numCache>
            </c:numRef>
          </c:val>
          <c:extLst>
            <c:ext xmlns:c16="http://schemas.microsoft.com/office/drawing/2014/chart" uri="{C3380CC4-5D6E-409C-BE32-E72D297353CC}">
              <c16:uniqueId val="{00000000-B062-4B35-B1DA-AEB19C56F8B5}"/>
            </c:ext>
          </c:extLst>
        </c:ser>
        <c:dLbls>
          <c:dLblPos val="outEnd"/>
          <c:showLegendKey val="0"/>
          <c:showVal val="1"/>
          <c:showCatName val="0"/>
          <c:showSerName val="0"/>
          <c:showPercent val="0"/>
          <c:showBubbleSize val="0"/>
        </c:dLbls>
        <c:gapWidth val="182"/>
        <c:axId val="1332275024"/>
        <c:axId val="1332279344"/>
      </c:barChart>
      <c:catAx>
        <c:axId val="133227502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79344"/>
        <c:crosses val="autoZero"/>
        <c:auto val="1"/>
        <c:lblAlgn val="ctr"/>
        <c:lblOffset val="100"/>
        <c:noMultiLvlLbl val="0"/>
      </c:catAx>
      <c:valAx>
        <c:axId val="1332279344"/>
        <c:scaling>
          <c:orientation val="minMax"/>
        </c:scaling>
        <c:delete val="1"/>
        <c:axPos val="b"/>
        <c:majorGridlines>
          <c:spPr>
            <a:ln w="9525" cap="flat" cmpd="sng" algn="ctr">
              <a:noFill/>
              <a:round/>
            </a:ln>
            <a:effectLst/>
          </c:spPr>
        </c:majorGridlines>
        <c:numFmt formatCode="&quot;$&quot;#,##0" sourceLinked="0"/>
        <c:majorTickMark val="out"/>
        <c:minorTickMark val="none"/>
        <c:tickLblPos val="nextTo"/>
        <c:crossAx val="133227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6EFC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 by Category</a:t>
            </a:r>
          </a:p>
        </c:rich>
      </c:tx>
      <c:layout>
        <c:manualLayout>
          <c:xMode val="edge"/>
          <c:yMode val="edge"/>
          <c:x val="1.9635036496350348E-2"/>
          <c:y val="4.8846675712347354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2E7D6B"/>
          </a:solidFill>
        </c:spPr>
        <c:marker>
          <c:symbol val="none"/>
        </c:marker>
        <c:dLbl>
          <c:idx val="0"/>
          <c:spPr>
            <a:solidFill>
              <a:srgbClr val="2E7D6B"/>
            </a:solidFill>
            <a:ln>
              <a:noFill/>
            </a:ln>
            <a:effectLst/>
          </c:spPr>
          <c:txPr>
            <a:bodyPr rot="0" spcFirstLastPara="1" vertOverflow="ellipsis" wrap="square" lIns="91440" tIns="19050" rIns="9144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2E7D6B"/>
          </a:solidFill>
          <a:ln w="19050">
            <a:solidFill>
              <a:schemeClr val="lt1"/>
            </a:solidFill>
          </a:ln>
          <a:effectLst/>
        </c:spPr>
        <c:dLbl>
          <c:idx val="0"/>
          <c:layout>
            <c:manualLayout>
              <c:x val="-7.2992700729927005E-3"/>
              <c:y val="-5.4274084124830389E-3"/>
            </c:manualLayout>
          </c:layout>
          <c:spPr>
            <a:solidFill>
              <a:srgbClr val="2E7D6B"/>
            </a:solidFill>
            <a:ln>
              <a:noFill/>
            </a:ln>
            <a:effectLst/>
          </c:spPr>
          <c:txPr>
            <a:bodyPr rot="0" spcFirstLastPara="1" vertOverflow="ellipsis" wrap="square" lIns="91440" tIns="19050" rIns="9144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2E7D6B">
              <a:alpha val="68000"/>
            </a:srgbClr>
          </a:solidFill>
          <a:ln w="19050">
            <a:solidFill>
              <a:schemeClr val="lt1"/>
            </a:solidFill>
          </a:ln>
          <a:effectLst/>
        </c:spPr>
        <c:dLbl>
          <c:idx val="0"/>
          <c:layout>
            <c:manualLayout>
              <c:x val="2.1897810218978103E-2"/>
              <c:y val="1.085481682496588E-2"/>
            </c:manualLayout>
          </c:layout>
          <c:spPr>
            <a:solidFill>
              <a:srgbClr val="2E7D6B"/>
            </a:solidFill>
            <a:ln>
              <a:noFill/>
            </a:ln>
            <a:effectLst/>
          </c:spPr>
          <c:txPr>
            <a:bodyPr rot="0" spcFirstLastPara="1" vertOverflow="ellipsis" wrap="square" lIns="91440" tIns="19050" rIns="91440" bIns="19050" anchor="ctr" anchorCtr="1">
              <a:spAutoFit/>
            </a:bodyPr>
            <a:lstStyle/>
            <a:p>
              <a:pPr>
                <a:defRPr sz="11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2E7D6B">
              <a:alpha val="23000"/>
            </a:srgbClr>
          </a:solidFill>
          <a:ln w="19050">
            <a:solidFill>
              <a:schemeClr val="lt1"/>
            </a:solidFill>
          </a:ln>
          <a:effectLst/>
        </c:spPr>
      </c:pivotFmt>
    </c:pivotFmts>
    <c:plotArea>
      <c:layout/>
      <c:doughnutChart>
        <c:varyColors val="1"/>
        <c:ser>
          <c:idx val="0"/>
          <c:order val="0"/>
          <c:tx>
            <c:strRef>
              <c:f>'Pivot Table'!$B$38</c:f>
              <c:strCache>
                <c:ptCount val="1"/>
                <c:pt idx="0">
                  <c:v>Total</c:v>
                </c:pt>
              </c:strCache>
            </c:strRef>
          </c:tx>
          <c:spPr>
            <a:solidFill>
              <a:srgbClr val="2E7D6B"/>
            </a:solidFill>
          </c:spPr>
          <c:dPt>
            <c:idx val="0"/>
            <c:bubble3D val="0"/>
            <c:spPr>
              <a:solidFill>
                <a:srgbClr val="2E7D6B"/>
              </a:solidFill>
              <a:ln w="19050">
                <a:solidFill>
                  <a:schemeClr val="lt1"/>
                </a:solidFill>
              </a:ln>
              <a:effectLst/>
            </c:spPr>
            <c:extLst>
              <c:ext xmlns:c16="http://schemas.microsoft.com/office/drawing/2014/chart" uri="{C3380CC4-5D6E-409C-BE32-E72D297353CC}">
                <c16:uniqueId val="{00000001-39D6-4FCB-B926-34449EE48594}"/>
              </c:ext>
            </c:extLst>
          </c:dPt>
          <c:dPt>
            <c:idx val="1"/>
            <c:bubble3D val="0"/>
            <c:spPr>
              <a:solidFill>
                <a:srgbClr val="2E7D6B">
                  <a:alpha val="68000"/>
                </a:srgbClr>
              </a:solidFill>
              <a:ln w="19050">
                <a:solidFill>
                  <a:schemeClr val="lt1"/>
                </a:solidFill>
              </a:ln>
              <a:effectLst/>
            </c:spPr>
            <c:extLst>
              <c:ext xmlns:c16="http://schemas.microsoft.com/office/drawing/2014/chart" uri="{C3380CC4-5D6E-409C-BE32-E72D297353CC}">
                <c16:uniqueId val="{00000003-39D6-4FCB-B926-34449EE48594}"/>
              </c:ext>
            </c:extLst>
          </c:dPt>
          <c:dPt>
            <c:idx val="2"/>
            <c:bubble3D val="0"/>
            <c:spPr>
              <a:solidFill>
                <a:srgbClr val="2E7D6B">
                  <a:alpha val="23000"/>
                </a:srgbClr>
              </a:solidFill>
              <a:ln w="19050">
                <a:solidFill>
                  <a:schemeClr val="lt1"/>
                </a:solidFill>
              </a:ln>
              <a:effectLst/>
            </c:spPr>
            <c:extLst>
              <c:ext xmlns:c16="http://schemas.microsoft.com/office/drawing/2014/chart" uri="{C3380CC4-5D6E-409C-BE32-E72D297353CC}">
                <c16:uniqueId val="{00000005-39D6-4FCB-B926-34449EE48594}"/>
              </c:ext>
            </c:extLst>
          </c:dPt>
          <c:dLbls>
            <c:dLbl>
              <c:idx val="0"/>
              <c:layout>
                <c:manualLayout>
                  <c:x val="-7.2992700729927005E-3"/>
                  <c:y val="-5.4274084124830389E-3"/>
                </c:manualLayout>
              </c:layout>
              <c:spPr>
                <a:solidFill>
                  <a:srgbClr val="2E7D6B"/>
                </a:solidFill>
                <a:ln>
                  <a:noFill/>
                </a:ln>
                <a:effectLst/>
              </c:spPr>
              <c:txPr>
                <a:bodyPr rot="0" spcFirstLastPara="1" vertOverflow="ellipsis" wrap="square" lIns="91440" tIns="19050" rIns="9144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39D6-4FCB-B926-34449EE48594}"/>
                </c:ext>
              </c:extLst>
            </c:dLbl>
            <c:dLbl>
              <c:idx val="1"/>
              <c:layout>
                <c:manualLayout>
                  <c:x val="2.1897810218978103E-2"/>
                  <c:y val="1.085481682496588E-2"/>
                </c:manualLayout>
              </c:layout>
              <c:spPr>
                <a:solidFill>
                  <a:srgbClr val="2E7D6B"/>
                </a:solidFill>
                <a:ln>
                  <a:noFill/>
                </a:ln>
                <a:effectLst/>
              </c:spPr>
              <c:txPr>
                <a:bodyPr rot="0" spcFirstLastPara="1" vertOverflow="ellipsis" wrap="square" lIns="91440" tIns="19050" rIns="91440" bIns="19050" anchor="ctr" anchorCtr="1">
                  <a:spAutoFit/>
                </a:bodyPr>
                <a:lstStyle/>
                <a:p>
                  <a:pPr>
                    <a:defRPr sz="11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39D6-4FCB-B926-34449EE48594}"/>
                </c:ext>
              </c:extLst>
            </c:dLbl>
            <c:spPr>
              <a:solidFill>
                <a:srgbClr val="2E7D6B"/>
              </a:solidFill>
              <a:ln>
                <a:noFill/>
              </a:ln>
              <a:effectLst/>
            </c:spPr>
            <c:txPr>
              <a:bodyPr rot="0" spcFirstLastPara="1" vertOverflow="ellipsis" wrap="square" lIns="91440" tIns="19050" rIns="9144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Table'!$A$39:$A$42</c:f>
              <c:strCache>
                <c:ptCount val="3"/>
                <c:pt idx="0">
                  <c:v>Accessories</c:v>
                </c:pt>
                <c:pt idx="1">
                  <c:v>Electronics</c:v>
                </c:pt>
                <c:pt idx="2">
                  <c:v>Furniture</c:v>
                </c:pt>
              </c:strCache>
            </c:strRef>
          </c:cat>
          <c:val>
            <c:numRef>
              <c:f>'Pivot Table'!$B$39:$B$42</c:f>
              <c:numCache>
                <c:formatCode>General</c:formatCode>
                <c:ptCount val="3"/>
                <c:pt idx="0">
                  <c:v>322</c:v>
                </c:pt>
                <c:pt idx="1">
                  <c:v>291</c:v>
                </c:pt>
                <c:pt idx="2">
                  <c:v>240</c:v>
                </c:pt>
              </c:numCache>
            </c:numRef>
          </c:val>
          <c:extLst>
            <c:ext xmlns:c16="http://schemas.microsoft.com/office/drawing/2014/chart" uri="{C3380CC4-5D6E-409C-BE32-E72D297353CC}">
              <c16:uniqueId val="{00000006-39D6-4FCB-B926-34449EE48594}"/>
            </c:ext>
          </c:extLst>
        </c:ser>
        <c:dLbls>
          <c:showLegendKey val="0"/>
          <c:showVal val="1"/>
          <c:showCatName val="0"/>
          <c:showSerName val="0"/>
          <c:showPercent val="0"/>
          <c:showBubbleSize val="0"/>
          <c:showLeaderLines val="1"/>
        </c:dLbls>
        <c:firstSliceAng val="0"/>
        <c:holeSize val="74"/>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6EFC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409575</xdr:colOff>
      <xdr:row>2</xdr:row>
      <xdr:rowOff>33337</xdr:rowOff>
    </xdr:from>
    <xdr:to>
      <xdr:col>10</xdr:col>
      <xdr:colOff>85725</xdr:colOff>
      <xdr:row>13</xdr:row>
      <xdr:rowOff>57150</xdr:rowOff>
    </xdr:to>
    <xdr:graphicFrame macro="">
      <xdr:nvGraphicFramePr>
        <xdr:cNvPr id="2" name="Chart 1">
          <a:extLst>
            <a:ext uri="{FF2B5EF4-FFF2-40B4-BE49-F238E27FC236}">
              <a16:creationId xmlns:a16="http://schemas.microsoft.com/office/drawing/2014/main" id="{8099B30C-146C-543B-0264-86DB3CD525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609600</xdr:colOff>
      <xdr:row>13</xdr:row>
      <xdr:rowOff>176213</xdr:rowOff>
    </xdr:from>
    <xdr:to>
      <xdr:col>8</xdr:col>
      <xdr:colOff>142875</xdr:colOff>
      <xdr:row>24</xdr:row>
      <xdr:rowOff>180975</xdr:rowOff>
    </xdr:to>
    <xdr:graphicFrame macro="">
      <xdr:nvGraphicFramePr>
        <xdr:cNvPr id="3" name="Chart 2">
          <a:extLst>
            <a:ext uri="{FF2B5EF4-FFF2-40B4-BE49-F238E27FC236}">
              <a16:creationId xmlns:a16="http://schemas.microsoft.com/office/drawing/2014/main" id="{FFE1988C-9483-6A03-70D0-3A93256F3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xdr:colOff>
      <xdr:row>25</xdr:row>
      <xdr:rowOff>66674</xdr:rowOff>
    </xdr:from>
    <xdr:to>
      <xdr:col>11</xdr:col>
      <xdr:colOff>400050</xdr:colOff>
      <xdr:row>37</xdr:row>
      <xdr:rowOff>38099</xdr:rowOff>
    </xdr:to>
    <xdr:graphicFrame macro="">
      <xdr:nvGraphicFramePr>
        <xdr:cNvPr id="4" name="Chart 3">
          <a:extLst>
            <a:ext uri="{FF2B5EF4-FFF2-40B4-BE49-F238E27FC236}">
              <a16:creationId xmlns:a16="http://schemas.microsoft.com/office/drawing/2014/main" id="{506766E7-AD53-7F1A-7E50-BC71912B5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371475</xdr:colOff>
      <xdr:row>37</xdr:row>
      <xdr:rowOff>147637</xdr:rowOff>
    </xdr:from>
    <xdr:to>
      <xdr:col>9</xdr:col>
      <xdr:colOff>47625</xdr:colOff>
      <xdr:row>48</xdr:row>
      <xdr:rowOff>38100</xdr:rowOff>
    </xdr:to>
    <xdr:graphicFrame macro="">
      <xdr:nvGraphicFramePr>
        <xdr:cNvPr id="6" name="Chart 5">
          <a:extLst>
            <a:ext uri="{FF2B5EF4-FFF2-40B4-BE49-F238E27FC236}">
              <a16:creationId xmlns:a16="http://schemas.microsoft.com/office/drawing/2014/main" id="{862757D3-4406-9F1B-C5E2-2A043600D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24</xdr:col>
      <xdr:colOff>419100</xdr:colOff>
      <xdr:row>16</xdr:row>
      <xdr:rowOff>0</xdr:rowOff>
    </xdr:from>
    <xdr:ext cx="184731" cy="405432"/>
    <xdr:sp macro="" textlink="">
      <xdr:nvSpPr>
        <xdr:cNvPr id="18" name="TextBox 17">
          <a:extLst>
            <a:ext uri="{FF2B5EF4-FFF2-40B4-BE49-F238E27FC236}">
              <a16:creationId xmlns:a16="http://schemas.microsoft.com/office/drawing/2014/main" id="{57E35F33-A3C6-08BD-7706-98A494665FA2}"/>
            </a:ext>
          </a:extLst>
        </xdr:cNvPr>
        <xdr:cNvSpPr txBox="1"/>
      </xdr:nvSpPr>
      <xdr:spPr>
        <a:xfrm>
          <a:off x="15367000" y="3048000"/>
          <a:ext cx="1847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000" b="1"/>
        </a:p>
      </xdr:txBody>
    </xdr:sp>
    <xdr:clientData/>
  </xdr:oneCellAnchor>
  <xdr:oneCellAnchor>
    <xdr:from>
      <xdr:col>24</xdr:col>
      <xdr:colOff>254000</xdr:colOff>
      <xdr:row>2</xdr:row>
      <xdr:rowOff>177800</xdr:rowOff>
    </xdr:from>
    <xdr:ext cx="184731" cy="264560"/>
    <xdr:sp macro="" textlink="">
      <xdr:nvSpPr>
        <xdr:cNvPr id="19" name="TextBox 18">
          <a:extLst>
            <a:ext uri="{FF2B5EF4-FFF2-40B4-BE49-F238E27FC236}">
              <a16:creationId xmlns:a16="http://schemas.microsoft.com/office/drawing/2014/main" id="{EFDDF0BE-CE3B-CD70-9E8D-4411AFD593CA}"/>
            </a:ext>
          </a:extLst>
        </xdr:cNvPr>
        <xdr:cNvSpPr txBox="1"/>
      </xdr:nvSpPr>
      <xdr:spPr>
        <a:xfrm>
          <a:off x="15201900" y="55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24</xdr:col>
      <xdr:colOff>533400</xdr:colOff>
      <xdr:row>16</xdr:row>
      <xdr:rowOff>101600</xdr:rowOff>
    </xdr:from>
    <xdr:ext cx="184731" cy="405432"/>
    <xdr:sp macro="" textlink="">
      <xdr:nvSpPr>
        <xdr:cNvPr id="20" name="TextBox 19">
          <a:extLst>
            <a:ext uri="{FF2B5EF4-FFF2-40B4-BE49-F238E27FC236}">
              <a16:creationId xmlns:a16="http://schemas.microsoft.com/office/drawing/2014/main" id="{4E9AA751-62AC-5AB9-A66E-E26AC23AA004}"/>
            </a:ext>
          </a:extLst>
        </xdr:cNvPr>
        <xdr:cNvSpPr txBox="1"/>
      </xdr:nvSpPr>
      <xdr:spPr>
        <a:xfrm>
          <a:off x="15481300" y="3149600"/>
          <a:ext cx="1847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000" b="1"/>
        </a:p>
      </xdr:txBody>
    </xdr:sp>
    <xdr:clientData/>
  </xdr:oneCellAnchor>
  <xdr:oneCellAnchor>
    <xdr:from>
      <xdr:col>24</xdr:col>
      <xdr:colOff>431800</xdr:colOff>
      <xdr:row>23</xdr:row>
      <xdr:rowOff>165100</xdr:rowOff>
    </xdr:from>
    <xdr:ext cx="184731" cy="264560"/>
    <xdr:sp macro="" textlink="">
      <xdr:nvSpPr>
        <xdr:cNvPr id="23" name="TextBox 22">
          <a:extLst>
            <a:ext uri="{FF2B5EF4-FFF2-40B4-BE49-F238E27FC236}">
              <a16:creationId xmlns:a16="http://schemas.microsoft.com/office/drawing/2014/main" id="{E12E061C-C99B-C441-B94A-488E871D269F}"/>
            </a:ext>
          </a:extLst>
        </xdr:cNvPr>
        <xdr:cNvSpPr txBox="1"/>
      </xdr:nvSpPr>
      <xdr:spPr>
        <a:xfrm>
          <a:off x="15379700" y="454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0</xdr:colOff>
      <xdr:row>1</xdr:row>
      <xdr:rowOff>0</xdr:rowOff>
    </xdr:from>
    <xdr:to>
      <xdr:col>28</xdr:col>
      <xdr:colOff>304801</xdr:colOff>
      <xdr:row>32</xdr:row>
      <xdr:rowOff>0</xdr:rowOff>
    </xdr:to>
    <xdr:grpSp>
      <xdr:nvGrpSpPr>
        <xdr:cNvPr id="43" name="Group 42">
          <a:extLst>
            <a:ext uri="{FF2B5EF4-FFF2-40B4-BE49-F238E27FC236}">
              <a16:creationId xmlns:a16="http://schemas.microsoft.com/office/drawing/2014/main" id="{D2BBF794-4CA5-2F7B-81E3-9A1D9A895E07}"/>
            </a:ext>
          </a:extLst>
        </xdr:cNvPr>
        <xdr:cNvGrpSpPr/>
      </xdr:nvGrpSpPr>
      <xdr:grpSpPr>
        <a:xfrm>
          <a:off x="608542" y="185208"/>
          <a:ext cx="17052926" cy="5556250"/>
          <a:chOff x="238653" y="158372"/>
          <a:chExt cx="17150444" cy="5715000"/>
        </a:xfrm>
      </xdr:grpSpPr>
      <xdr:sp macro="" textlink="">
        <xdr:nvSpPr>
          <xdr:cNvPr id="38" name="Rectangle: Rounded Corners 37">
            <a:extLst>
              <a:ext uri="{FF2B5EF4-FFF2-40B4-BE49-F238E27FC236}">
                <a16:creationId xmlns:a16="http://schemas.microsoft.com/office/drawing/2014/main" id="{5182315B-9029-A4E5-E6CF-E32DFEA8FEF0}"/>
              </a:ext>
            </a:extLst>
          </xdr:cNvPr>
          <xdr:cNvSpPr/>
        </xdr:nvSpPr>
        <xdr:spPr>
          <a:xfrm>
            <a:off x="238653" y="158372"/>
            <a:ext cx="17150444" cy="5715000"/>
          </a:xfrm>
          <a:prstGeom prst="roundRect">
            <a:avLst>
              <a:gd name="adj" fmla="val 6376"/>
            </a:avLst>
          </a:prstGeom>
          <a:solidFill>
            <a:srgbClr val="DCF0EB"/>
          </a:solidFill>
          <a:ln>
            <a:noFill/>
          </a:ln>
          <a:effectLst>
            <a:outerShdw blurRad="254000" dist="635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59B93EB1-3CDF-4FDD-AAAC-290C360F8726}"/>
              </a:ext>
            </a:extLst>
          </xdr:cNvPr>
          <xdr:cNvGraphicFramePr>
            <a:graphicFrameLocks/>
          </xdr:cNvGraphicFramePr>
        </xdr:nvGraphicFramePr>
        <xdr:xfrm>
          <a:off x="2633965" y="1003299"/>
          <a:ext cx="6389913" cy="228599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C0667B17-8AE2-40BC-A9B8-374D0D743933}"/>
              </a:ext>
            </a:extLst>
          </xdr:cNvPr>
          <xdr:cNvGraphicFramePr>
            <a:graphicFrameLocks/>
          </xdr:cNvGraphicFramePr>
        </xdr:nvGraphicFramePr>
        <xdr:xfrm>
          <a:off x="9075207" y="1005415"/>
          <a:ext cx="5236935" cy="228388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157F31B0-FBBE-49F9-8461-D2152DA1F7DE}"/>
              </a:ext>
            </a:extLst>
          </xdr:cNvPr>
          <xdr:cNvGraphicFramePr>
            <a:graphicFrameLocks/>
          </xdr:cNvGraphicFramePr>
        </xdr:nvGraphicFramePr>
        <xdr:xfrm>
          <a:off x="2633963" y="3367086"/>
          <a:ext cx="6389915" cy="234791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26A20A81-D23E-44EE-83F9-FDC04DB502A9}"/>
              </a:ext>
            </a:extLst>
          </xdr:cNvPr>
          <xdr:cNvGraphicFramePr>
            <a:graphicFrameLocks/>
          </xdr:cNvGraphicFramePr>
        </xdr:nvGraphicFramePr>
        <xdr:xfrm>
          <a:off x="9075207" y="3372378"/>
          <a:ext cx="5236936" cy="2334684"/>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2756DC33-EC4A-E617-5FA8-E6EC38773885}"/>
                  </a:ext>
                </a:extLst>
              </xdr:cNvPr>
              <xdr:cNvGraphicFramePr/>
            </xdr:nvGraphicFramePr>
            <xdr:xfrm>
              <a:off x="303741" y="1016528"/>
              <a:ext cx="2277836" cy="2524126"/>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77409" y="1048656"/>
                <a:ext cx="2277836" cy="2524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8" name="Rectangle 7">
            <a:extLst>
              <a:ext uri="{FF2B5EF4-FFF2-40B4-BE49-F238E27FC236}">
                <a16:creationId xmlns:a16="http://schemas.microsoft.com/office/drawing/2014/main" id="{E44A818B-0778-6432-C78B-E36060DEB9E5}"/>
              </a:ext>
            </a:extLst>
          </xdr:cNvPr>
          <xdr:cNvSpPr/>
        </xdr:nvSpPr>
        <xdr:spPr>
          <a:xfrm>
            <a:off x="14396357" y="1003299"/>
            <a:ext cx="2803827" cy="4681009"/>
          </a:xfrm>
          <a:prstGeom prst="rect">
            <a:avLst/>
          </a:prstGeom>
          <a:solidFill>
            <a:srgbClr val="C6EFCE"/>
          </a:solidFill>
          <a:ln>
            <a:noFill/>
          </a:ln>
          <a:effectLst>
            <a:outerShdw blurRad="1905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B1D23493-48CE-1637-CB6B-22CB7D5BCA0A}"/>
              </a:ext>
            </a:extLst>
          </xdr:cNvPr>
          <xdr:cNvSpPr/>
        </xdr:nvSpPr>
        <xdr:spPr>
          <a:xfrm>
            <a:off x="14472557" y="1092199"/>
            <a:ext cx="2613327" cy="136630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a:solidFill>
                <a:srgbClr val="2E7D6B"/>
              </a:solidFill>
              <a:latin typeface="+mn-lt"/>
            </a:endParaRPr>
          </a:p>
          <a:p>
            <a:pPr algn="ctr"/>
            <a:endParaRPr lang="en-US" sz="2000" b="1">
              <a:solidFill>
                <a:srgbClr val="2E7D6B"/>
              </a:solidFill>
              <a:latin typeface="+mn-lt"/>
            </a:endParaRPr>
          </a:p>
          <a:p>
            <a:pPr algn="ctr"/>
            <a:endParaRPr lang="en-US" sz="1800" b="1">
              <a:solidFill>
                <a:srgbClr val="2E7D6B"/>
              </a:solidFill>
              <a:latin typeface="+mn-lt"/>
            </a:endParaRPr>
          </a:p>
        </xdr:txBody>
      </xdr:sp>
      <xdr:sp macro="" textlink="">
        <xdr:nvSpPr>
          <xdr:cNvPr id="10" name="Rectangle 9">
            <a:extLst>
              <a:ext uri="{FF2B5EF4-FFF2-40B4-BE49-F238E27FC236}">
                <a16:creationId xmlns:a16="http://schemas.microsoft.com/office/drawing/2014/main" id="{D79EE68B-DCA2-5934-7291-82C012C84CC2}"/>
              </a:ext>
            </a:extLst>
          </xdr:cNvPr>
          <xdr:cNvSpPr/>
        </xdr:nvSpPr>
        <xdr:spPr>
          <a:xfrm>
            <a:off x="14472557" y="2603500"/>
            <a:ext cx="2613327" cy="11303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09DD2E74-2D3C-5129-477B-BF14FD8A5DE6}"/>
              </a:ext>
            </a:extLst>
          </xdr:cNvPr>
          <xdr:cNvSpPr/>
        </xdr:nvSpPr>
        <xdr:spPr>
          <a:xfrm>
            <a:off x="14472557" y="3873499"/>
            <a:ext cx="2613327" cy="141710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ACDA19A1-19FE-0C5F-F46D-1C339BAA52C9}"/>
              </a:ext>
            </a:extLst>
          </xdr:cNvPr>
          <xdr:cNvSpPr txBox="1"/>
        </xdr:nvSpPr>
        <xdr:spPr>
          <a:xfrm>
            <a:off x="15172720" y="1257300"/>
            <a:ext cx="1213858" cy="495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800" b="1"/>
              <a:t>Total</a:t>
            </a:r>
            <a:r>
              <a:rPr lang="en-US" sz="1800" b="1" baseline="0"/>
              <a:t> Sales</a:t>
            </a:r>
            <a:endParaRPr lang="en-US" sz="1800" b="1"/>
          </a:p>
        </xdr:txBody>
      </xdr:sp>
      <xdr:sp macro="" textlink="'Pivot Table'!B23">
        <xdr:nvSpPr>
          <xdr:cNvPr id="16" name="TextBox 15">
            <a:extLst>
              <a:ext uri="{FF2B5EF4-FFF2-40B4-BE49-F238E27FC236}">
                <a16:creationId xmlns:a16="http://schemas.microsoft.com/office/drawing/2014/main" id="{9C1B6660-D942-22BD-DE7A-659D01F3B9A3}"/>
              </a:ext>
            </a:extLst>
          </xdr:cNvPr>
          <xdr:cNvSpPr txBox="1"/>
        </xdr:nvSpPr>
        <xdr:spPr>
          <a:xfrm>
            <a:off x="15224101" y="1549399"/>
            <a:ext cx="15494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40484AA5-3A55-4D6C-8A7B-6122DAABD657}" type="TxLink">
              <a:rPr lang="en-US" sz="2000" b="1" i="0" u="none" strike="noStrike">
                <a:solidFill>
                  <a:srgbClr val="000000"/>
                </a:solidFill>
                <a:latin typeface="Calibri"/>
                <a:cs typeface="Calibri"/>
              </a:rPr>
              <a:pPr algn="l"/>
              <a:t> $201,370 </a:t>
            </a:fld>
            <a:endParaRPr lang="en-US" sz="1050" b="1"/>
          </a:p>
        </xdr:txBody>
      </xdr:sp>
      <xdr:sp macro="" textlink="">
        <xdr:nvSpPr>
          <xdr:cNvPr id="17" name="TextBox 16">
            <a:extLst>
              <a:ext uri="{FF2B5EF4-FFF2-40B4-BE49-F238E27FC236}">
                <a16:creationId xmlns:a16="http://schemas.microsoft.com/office/drawing/2014/main" id="{32F0728D-B514-24ED-CD80-DBC36E1CAA30}"/>
              </a:ext>
            </a:extLst>
          </xdr:cNvPr>
          <xdr:cNvSpPr txBox="1"/>
        </xdr:nvSpPr>
        <xdr:spPr>
          <a:xfrm>
            <a:off x="15097578" y="2623608"/>
            <a:ext cx="137826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US" sz="1800" b="1"/>
              <a:t>Total Orders</a:t>
            </a:r>
          </a:p>
        </xdr:txBody>
      </xdr:sp>
      <xdr:sp macro="" textlink="'Pivot Table'!B56">
        <xdr:nvSpPr>
          <xdr:cNvPr id="21" name="TextBox 20">
            <a:extLst>
              <a:ext uri="{FF2B5EF4-FFF2-40B4-BE49-F238E27FC236}">
                <a16:creationId xmlns:a16="http://schemas.microsoft.com/office/drawing/2014/main" id="{0E53E65F-1CBB-0560-1FEA-2A906FC79581}"/>
              </a:ext>
            </a:extLst>
          </xdr:cNvPr>
          <xdr:cNvSpPr txBox="1"/>
        </xdr:nvSpPr>
        <xdr:spPr>
          <a:xfrm>
            <a:off x="15439421" y="2814108"/>
            <a:ext cx="60959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B4448BBF-59B8-4F47-802F-10AAEA4EB0CE}" type="TxLink">
              <a:rPr lang="en-US" sz="2000" b="1" i="0" u="none" strike="noStrike">
                <a:solidFill>
                  <a:srgbClr val="000000"/>
                </a:solidFill>
                <a:latin typeface="Calibri"/>
                <a:cs typeface="Calibri"/>
              </a:rPr>
              <a:pPr algn="l"/>
              <a:t>289</a:t>
            </a:fld>
            <a:endParaRPr lang="en-US" sz="2000" b="1"/>
          </a:p>
        </xdr:txBody>
      </xdr:sp>
      <xdr:sp macro="" textlink="">
        <xdr:nvSpPr>
          <xdr:cNvPr id="22" name="TextBox 21">
            <a:extLst>
              <a:ext uri="{FF2B5EF4-FFF2-40B4-BE49-F238E27FC236}">
                <a16:creationId xmlns:a16="http://schemas.microsoft.com/office/drawing/2014/main" id="{6D13296A-7A6F-6A93-4955-51E39435C4FC}"/>
              </a:ext>
            </a:extLst>
          </xdr:cNvPr>
          <xdr:cNvSpPr txBox="1"/>
        </xdr:nvSpPr>
        <xdr:spPr>
          <a:xfrm>
            <a:off x="15004898" y="4000500"/>
            <a:ext cx="15719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US" sz="1800" b="1"/>
              <a:t>Total Quantity</a:t>
            </a:r>
          </a:p>
        </xdr:txBody>
      </xdr:sp>
      <xdr:sp macro="" textlink="'Pivot Table'!B42">
        <xdr:nvSpPr>
          <xdr:cNvPr id="24" name="TextBox 23">
            <a:extLst>
              <a:ext uri="{FF2B5EF4-FFF2-40B4-BE49-F238E27FC236}">
                <a16:creationId xmlns:a16="http://schemas.microsoft.com/office/drawing/2014/main" id="{A4156528-92D7-C157-1998-695652F55D9D}"/>
              </a:ext>
            </a:extLst>
          </xdr:cNvPr>
          <xdr:cNvSpPr txBox="1"/>
        </xdr:nvSpPr>
        <xdr:spPr>
          <a:xfrm>
            <a:off x="15426720" y="4241800"/>
            <a:ext cx="685800" cy="41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A23F5CCC-003C-40DF-8D51-683CE47E7A3C}" type="TxLink">
              <a:rPr lang="en-US" sz="2000" b="1" i="0" u="none" strike="noStrike">
                <a:solidFill>
                  <a:srgbClr val="000000"/>
                </a:solidFill>
                <a:latin typeface="Calibri"/>
                <a:cs typeface="Calibri"/>
              </a:rPr>
              <a:pPr algn="l"/>
              <a:t>853</a:t>
            </a:fld>
            <a:endParaRPr lang="en-US" sz="2000" b="1"/>
          </a:p>
        </xdr:txBody>
      </xdr:sp>
      <xdr:sp macro="" textlink="">
        <xdr:nvSpPr>
          <xdr:cNvPr id="40" name="TextBox 39">
            <a:extLst>
              <a:ext uri="{FF2B5EF4-FFF2-40B4-BE49-F238E27FC236}">
                <a16:creationId xmlns:a16="http://schemas.microsoft.com/office/drawing/2014/main" id="{600EC22E-CBE6-B9DD-11FD-83D1A6B28314}"/>
              </a:ext>
            </a:extLst>
          </xdr:cNvPr>
          <xdr:cNvSpPr txBox="1"/>
        </xdr:nvSpPr>
        <xdr:spPr>
          <a:xfrm>
            <a:off x="383647" y="171979"/>
            <a:ext cx="3199594" cy="347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700" b="1">
                <a:latin typeface="+mj-lt"/>
              </a:rPr>
              <a:t>Sales</a:t>
            </a:r>
            <a:r>
              <a:rPr lang="en-US" sz="1700" b="1" baseline="0">
                <a:latin typeface="+mj-lt"/>
              </a:rPr>
              <a:t> Performance Dashboard</a:t>
            </a:r>
            <a:endParaRPr lang="en-US" sz="1700" b="1">
              <a:latin typeface="+mj-lt"/>
            </a:endParaRPr>
          </a:p>
        </xdr:txBody>
      </xdr:sp>
      <xdr:sp macro="" textlink="">
        <xdr:nvSpPr>
          <xdr:cNvPr id="41" name="TextBox 40">
            <a:extLst>
              <a:ext uri="{FF2B5EF4-FFF2-40B4-BE49-F238E27FC236}">
                <a16:creationId xmlns:a16="http://schemas.microsoft.com/office/drawing/2014/main" id="{D0D7F27B-CCC1-AED1-992A-8F4AAEE87E40}"/>
              </a:ext>
            </a:extLst>
          </xdr:cNvPr>
          <xdr:cNvSpPr txBox="1"/>
        </xdr:nvSpPr>
        <xdr:spPr>
          <a:xfrm>
            <a:off x="383647" y="461157"/>
            <a:ext cx="4534383"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300" b="0" i="0">
                <a:solidFill>
                  <a:srgbClr val="2E7D6B"/>
                </a:solidFill>
              </a:rPr>
              <a:t>2024 Retail Sales Analysis</a:t>
            </a:r>
            <a:r>
              <a:rPr lang="en-US" sz="1300" b="0" i="0" baseline="0">
                <a:solidFill>
                  <a:srgbClr val="2E7D6B"/>
                </a:solidFill>
              </a:rPr>
              <a:t> | </a:t>
            </a:r>
            <a:r>
              <a:rPr lang="en-US" sz="1300" b="0" i="0">
                <a:solidFill>
                  <a:srgbClr val="2E7D6B"/>
                </a:solidFill>
              </a:rPr>
              <a:t>Electronics, Furniture</a:t>
            </a:r>
            <a:r>
              <a:rPr lang="en-US" sz="1300" b="0" i="0" baseline="0">
                <a:solidFill>
                  <a:srgbClr val="2E7D6B"/>
                </a:solidFill>
              </a:rPr>
              <a:t> &amp; Accessories</a:t>
            </a:r>
            <a:endParaRPr lang="en-US" sz="1300" b="0" i="0">
              <a:solidFill>
                <a:srgbClr val="2E7D6B"/>
              </a:solidFill>
            </a:endParaRPr>
          </a:p>
        </xdr:txBody>
      </xdr:sp>
      <xdr:sp macro="" textlink="">
        <xdr:nvSpPr>
          <xdr:cNvPr id="42" name="TextBox 41">
            <a:extLst>
              <a:ext uri="{FF2B5EF4-FFF2-40B4-BE49-F238E27FC236}">
                <a16:creationId xmlns:a16="http://schemas.microsoft.com/office/drawing/2014/main" id="{3AE38882-7DB1-6816-836B-3E058E463E0F}"/>
              </a:ext>
            </a:extLst>
          </xdr:cNvPr>
          <xdr:cNvSpPr txBox="1"/>
        </xdr:nvSpPr>
        <xdr:spPr>
          <a:xfrm>
            <a:off x="383647" y="692978"/>
            <a:ext cx="2010356" cy="262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US" sz="1200" b="0">
                <a:solidFill>
                  <a:srgbClr val="2E7D6B"/>
                </a:solidFill>
                <a:latin typeface="+mj-lt"/>
              </a:rPr>
              <a:t>By Princewill_Data</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3.941631944443" createdVersion="8" refreshedVersion="8" minRefreshableVersion="3" recordCount="289" xr:uid="{07D99C1B-5BE3-4599-90FF-5F904532CB76}">
  <cacheSource type="worksheet">
    <worksheetSource name="Table1"/>
  </cacheSource>
  <cacheFields count="9">
    <cacheField name="order_id" numFmtId="0">
      <sharedItems containsSemiMixedTypes="0" containsString="0" containsNumber="1" containsInteger="1" minValue="1" maxValue="300" count="289">
        <n v="1"/>
        <n v="2"/>
        <n v="4"/>
        <n v="5"/>
        <n v="6"/>
        <n v="7"/>
        <n v="8"/>
        <n v="9"/>
        <n v="10"/>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6"/>
        <n v="87"/>
        <n v="88"/>
        <n v="89"/>
        <n v="90"/>
        <n v="91"/>
        <n v="92"/>
        <n v="93"/>
        <n v="94"/>
        <n v="95"/>
        <n v="96"/>
        <n v="97"/>
        <n v="98"/>
        <n v="99"/>
        <n v="100"/>
        <n v="101"/>
        <n v="102"/>
        <n v="103"/>
        <n v="104"/>
        <n v="105"/>
        <n v="106"/>
        <n v="107"/>
        <n v="108"/>
        <n v="109"/>
        <n v="110"/>
        <n v="111"/>
        <n v="112"/>
        <n v="113"/>
        <n v="114"/>
        <n v="115"/>
        <n v="116"/>
        <n v="117"/>
        <n v="118"/>
        <n v="119"/>
        <n v="120"/>
        <n v="121"/>
        <n v="123"/>
        <n v="124"/>
        <n v="125"/>
        <n v="126"/>
        <n v="127"/>
        <n v="128"/>
        <n v="129"/>
        <n v="130"/>
        <n v="131"/>
        <n v="132"/>
        <n v="133"/>
        <n v="134"/>
        <n v="135"/>
        <n v="136"/>
        <n v="137"/>
        <n v="138"/>
        <n v="139"/>
        <n v="140"/>
        <n v="141"/>
        <n v="142"/>
        <n v="143"/>
        <n v="144"/>
        <n v="145"/>
        <n v="146"/>
        <n v="147"/>
        <n v="148"/>
        <n v="149"/>
        <n v="150"/>
        <n v="151"/>
        <n v="152"/>
        <n v="153"/>
        <n v="154"/>
        <n v="156"/>
        <n v="157"/>
        <n v="158"/>
        <n v="159"/>
        <n v="160"/>
        <n v="161"/>
        <n v="162"/>
        <n v="163"/>
        <n v="164"/>
        <n v="165"/>
        <n v="166"/>
        <n v="167"/>
        <n v="168"/>
        <n v="169"/>
        <n v="170"/>
        <n v="171"/>
        <n v="172"/>
        <n v="173"/>
        <n v="174"/>
        <n v="175"/>
        <n v="176"/>
        <n v="177"/>
        <n v="178"/>
        <n v="179"/>
        <n v="180"/>
        <n v="181"/>
        <n v="182"/>
        <n v="183"/>
        <n v="184"/>
        <n v="185"/>
        <n v="186"/>
        <n v="187"/>
        <n v="188"/>
        <n v="189"/>
        <n v="190"/>
        <n v="191"/>
        <n v="193"/>
        <n v="194"/>
        <n v="195"/>
        <n v="196"/>
        <n v="197"/>
        <n v="198"/>
        <n v="199"/>
        <n v="200"/>
        <n v="201"/>
        <n v="202"/>
        <n v="203"/>
        <n v="204"/>
        <n v="205"/>
        <n v="206"/>
        <n v="207"/>
        <n v="208"/>
        <n v="209"/>
        <n v="210"/>
        <n v="211"/>
        <n v="212"/>
        <n v="213"/>
        <n v="214"/>
        <n v="216"/>
        <n v="217"/>
        <n v="218"/>
        <n v="219"/>
        <n v="220"/>
        <n v="221"/>
        <n v="222"/>
        <n v="223"/>
        <n v="224"/>
        <n v="225"/>
        <n v="226"/>
        <n v="227"/>
        <n v="228"/>
        <n v="229"/>
        <n v="230"/>
        <n v="231"/>
        <n v="232"/>
        <n v="233"/>
        <n v="234"/>
        <n v="235"/>
        <n v="236"/>
        <n v="237"/>
        <n v="238"/>
        <n v="239"/>
        <n v="240"/>
        <n v="241"/>
        <n v="242"/>
        <n v="243"/>
        <n v="244"/>
        <n v="245"/>
        <n v="246"/>
        <n v="248"/>
        <n v="249"/>
        <n v="250"/>
        <n v="251"/>
        <n v="252"/>
        <n v="253"/>
        <n v="254"/>
        <n v="255"/>
        <n v="256"/>
        <n v="257"/>
        <n v="258"/>
        <n v="259"/>
        <n v="260"/>
        <n v="262"/>
        <n v="263"/>
        <n v="264"/>
        <n v="265"/>
        <n v="266"/>
        <n v="267"/>
        <n v="268"/>
        <n v="269"/>
        <n v="270"/>
        <n v="271"/>
        <n v="272"/>
        <n v="273"/>
        <n v="274"/>
        <n v="275"/>
        <n v="276"/>
        <n v="277"/>
        <n v="278"/>
        <n v="279"/>
        <n v="280"/>
        <n v="281"/>
        <n v="282"/>
        <n v="283"/>
        <n v="284"/>
        <n v="285"/>
        <n v="286"/>
        <n v="287"/>
        <n v="288"/>
        <n v="289"/>
        <n v="290"/>
        <n v="291"/>
        <n v="293"/>
        <n v="294"/>
        <n v="295"/>
        <n v="297"/>
        <n v="298"/>
        <n v="299"/>
        <n v="300"/>
      </sharedItems>
    </cacheField>
    <cacheField name="order_date" numFmtId="164">
      <sharedItems containsSemiMixedTypes="0" containsNonDate="0" containsDate="1" containsString="0" minDate="2024-01-02T00:00:00" maxDate="2024-12-30T00:00:00" count="198">
        <d v="2024-10-18T00:00:00"/>
        <d v="2024-06-10T00:00:00"/>
        <d v="2024-04-24T00:00:00"/>
        <d v="2024-11-10T00:00:00"/>
        <d v="2024-12-13T00:00:00"/>
        <d v="2024-01-24T00:00:00"/>
        <d v="2024-03-08T00:00:00"/>
        <d v="2024-10-16T00:00:00"/>
        <d v="2024-10-19T00:00:00"/>
        <d v="2024-03-23T00:00:00"/>
        <d v="2024-09-17T00:00:00"/>
        <d v="2024-12-18T00:00:00"/>
        <d v="2024-02-03T00:00:00"/>
        <d v="2024-02-15T00:00:00"/>
        <d v="2024-04-02T00:00:00"/>
        <d v="2024-06-26T00:00:00"/>
        <d v="2024-05-19T00:00:00"/>
        <d v="2024-12-25T00:00:00"/>
        <d v="2024-11-27T00:00:00"/>
        <d v="2024-12-29T00:00:00"/>
        <d v="2024-06-16T00:00:00"/>
        <d v="2024-06-17T00:00:00"/>
        <d v="2024-11-29T00:00:00"/>
        <d v="2024-11-19T00:00:00"/>
        <d v="2024-05-22T00:00:00"/>
        <d v="2024-04-11T00:00:00"/>
        <d v="2024-01-29T00:00:00"/>
        <d v="2024-09-28T00:00:00"/>
        <d v="2024-12-14T00:00:00"/>
        <d v="2024-04-29T00:00:00"/>
        <d v="2024-07-23T00:00:00"/>
        <d v="2024-03-22T00:00:00"/>
        <d v="2024-02-14T00:00:00"/>
        <d v="2024-07-26T00:00:00"/>
        <d v="2024-11-08T00:00:00"/>
        <d v="2024-01-04T00:00:00"/>
        <d v="2024-01-03T00:00:00"/>
        <d v="2024-02-18T00:00:00"/>
        <d v="2024-02-27T00:00:00"/>
        <d v="2024-04-14T00:00:00"/>
        <d v="2024-07-20T00:00:00"/>
        <d v="2024-07-24T00:00:00"/>
        <d v="2024-05-18T00:00:00"/>
        <d v="2024-06-13T00:00:00"/>
        <d v="2024-11-22T00:00:00"/>
        <d v="2024-04-01T00:00:00"/>
        <d v="2024-01-14T00:00:00"/>
        <d v="2024-12-03T00:00:00"/>
        <d v="2024-02-26T00:00:00"/>
        <d v="2024-10-12T00:00:00"/>
        <d v="2024-08-12T00:00:00"/>
        <d v="2024-06-22T00:00:00"/>
        <d v="2024-05-23T00:00:00"/>
        <d v="2024-12-12T00:00:00"/>
        <d v="2024-04-08T00:00:00"/>
        <d v="2024-02-16T00:00:00"/>
        <d v="2024-09-27T00:00:00"/>
        <d v="2024-04-27T00:00:00"/>
        <d v="2024-02-13T00:00:00"/>
        <d v="2024-06-07T00:00:00"/>
        <d v="2024-03-25T00:00:00"/>
        <d v="2024-05-04T00:00:00"/>
        <d v="2024-03-20T00:00:00"/>
        <d v="2024-11-05T00:00:00"/>
        <d v="2024-12-06T00:00:00"/>
        <d v="2024-04-30T00:00:00"/>
        <d v="2024-01-21T00:00:00"/>
        <d v="2024-11-17T00:00:00"/>
        <d v="2024-08-05T00:00:00"/>
        <d v="2024-10-05T00:00:00"/>
        <d v="2024-09-18T00:00:00"/>
        <d v="2024-12-07T00:00:00"/>
        <d v="2024-12-23T00:00:00"/>
        <d v="2024-09-16T00:00:00"/>
        <d v="2024-03-17T00:00:00"/>
        <d v="2024-04-20T00:00:00"/>
        <d v="2024-06-28T00:00:00"/>
        <d v="2024-10-06T00:00:00"/>
        <d v="2024-12-16T00:00:00"/>
        <d v="2024-07-30T00:00:00"/>
        <d v="2024-12-09T00:00:00"/>
        <d v="2024-12-26T00:00:00"/>
        <d v="2024-12-05T00:00:00"/>
        <d v="2024-01-07T00:00:00"/>
        <d v="2024-01-26T00:00:00"/>
        <d v="2024-09-22T00:00:00"/>
        <d v="2024-11-18T00:00:00"/>
        <d v="2024-05-13T00:00:00"/>
        <d v="2024-07-29T00:00:00"/>
        <d v="2024-08-01T00:00:00"/>
        <d v="2024-11-03T00:00:00"/>
        <d v="2024-07-19T00:00:00"/>
        <d v="2024-07-17T00:00:00"/>
        <d v="2024-08-22T00:00:00"/>
        <d v="2024-01-02T00:00:00"/>
        <d v="2024-01-18T00:00:00"/>
        <d v="2024-12-20T00:00:00"/>
        <d v="2024-06-30T00:00:00"/>
        <d v="2024-02-29T00:00:00"/>
        <d v="2024-01-25T00:00:00"/>
        <d v="2024-04-03T00:00:00"/>
        <d v="2024-11-30T00:00:00"/>
        <d v="2024-07-09T00:00:00"/>
        <d v="2024-03-13T00:00:00"/>
        <d v="2024-03-30T00:00:00"/>
        <d v="2024-11-11T00:00:00"/>
        <d v="2024-05-01T00:00:00"/>
        <d v="2024-08-19T00:00:00"/>
        <d v="2024-01-30T00:00:00"/>
        <d v="2024-08-10T00:00:00"/>
        <d v="2024-08-04T00:00:00"/>
        <d v="2024-02-08T00:00:00"/>
        <d v="2024-10-26T00:00:00"/>
        <d v="2024-01-27T00:00:00"/>
        <d v="2024-05-29T00:00:00"/>
        <d v="2024-02-28T00:00:00"/>
        <d v="2024-04-07T00:00:00"/>
        <d v="2024-12-10T00:00:00"/>
        <d v="2024-07-25T00:00:00"/>
        <d v="2024-12-28T00:00:00"/>
        <d v="2024-09-11T00:00:00"/>
        <d v="2024-09-12T00:00:00"/>
        <d v="2024-09-26T00:00:00"/>
        <d v="2024-01-31T00:00:00"/>
        <d v="2024-04-12T00:00:00"/>
        <d v="2024-02-20T00:00:00"/>
        <d v="2024-04-25T00:00:00"/>
        <d v="2024-02-07T00:00:00"/>
        <d v="2024-06-27T00:00:00"/>
        <d v="2024-07-31T00:00:00"/>
        <d v="2024-09-04T00:00:00"/>
        <d v="2024-05-11T00:00:00"/>
        <d v="2024-10-07T00:00:00"/>
        <d v="2024-08-09T00:00:00"/>
        <d v="2024-07-21T00:00:00"/>
        <d v="2024-11-16T00:00:00"/>
        <d v="2024-12-04T00:00:00"/>
        <d v="2024-08-16T00:00:00"/>
        <d v="2024-11-02T00:00:00"/>
        <d v="2024-09-14T00:00:00"/>
        <d v="2024-09-01T00:00:00"/>
        <d v="2024-11-25T00:00:00"/>
        <d v="2024-06-21T00:00:00"/>
        <d v="2024-12-22T00:00:00"/>
        <d v="2024-06-05T00:00:00"/>
        <d v="2024-11-23T00:00:00"/>
        <d v="2024-06-20T00:00:00"/>
        <d v="2024-06-23T00:00:00"/>
        <d v="2024-11-04T00:00:00"/>
        <d v="2024-11-07T00:00:00"/>
        <d v="2024-08-31T00:00:00"/>
        <d v="2024-03-21T00:00:00"/>
        <d v="2024-03-19T00:00:00"/>
        <d v="2024-12-17T00:00:00"/>
        <d v="2024-10-11T00:00:00"/>
        <d v="2024-05-27T00:00:00"/>
        <d v="2024-03-05T00:00:00"/>
        <d v="2024-10-15T00:00:00"/>
        <d v="2024-02-04T00:00:00"/>
        <d v="2024-10-02T00:00:00"/>
        <d v="2024-03-07T00:00:00"/>
        <d v="2024-12-19T00:00:00"/>
        <d v="2024-07-13T00:00:00"/>
        <d v="2024-04-15T00:00:00"/>
        <d v="2024-03-06T00:00:00"/>
        <d v="2024-06-11T00:00:00"/>
        <d v="2024-01-05T00:00:00"/>
        <d v="2024-09-19T00:00:00"/>
        <d v="2024-11-09T00:00:00"/>
        <d v="2024-08-15T00:00:00"/>
        <d v="2024-03-31T00:00:00"/>
        <d v="2024-03-11T00:00:00"/>
        <d v="2024-03-12T00:00:00"/>
        <d v="2024-04-16T00:00:00"/>
        <d v="2024-04-19T00:00:00"/>
        <d v="2024-01-08T00:00:00"/>
        <d v="2024-08-27T00:00:00"/>
        <d v="2024-09-07T00:00:00"/>
        <d v="2024-11-24T00:00:00"/>
        <d v="2024-06-24T00:00:00"/>
        <d v="2024-09-20T00:00:00"/>
        <d v="2024-12-21T00:00:00"/>
        <d v="2024-02-23T00:00:00"/>
        <d v="2024-07-06T00:00:00"/>
        <d v="2024-05-16T00:00:00"/>
        <d v="2024-02-25T00:00:00"/>
        <d v="2024-03-16T00:00:00"/>
        <d v="2024-10-08T00:00:00"/>
        <d v="2024-11-12T00:00:00"/>
        <d v="2024-07-04T00:00:00"/>
        <d v="2024-07-10T00:00:00"/>
        <d v="2024-06-04T00:00:00"/>
        <d v="2024-11-14T00:00:00"/>
        <d v="2024-10-25T00:00:00"/>
        <d v="2024-07-02T00:00:00"/>
        <d v="2024-04-10T00:00:00"/>
        <d v="2024-07-11T00:00:00"/>
        <d v="2024-02-01T00:00:00"/>
      </sharedItems>
      <fieldGroup par="8"/>
    </cacheField>
    <cacheField name="product" numFmtId="0">
      <sharedItems count="8">
        <s v="Tablet"/>
        <s v="Chair"/>
        <s v="Phone"/>
        <s v="Desk"/>
        <s v="Laptop"/>
        <s v="Keyboard"/>
        <s v="Headset"/>
        <s v="Mouse"/>
      </sharedItems>
    </cacheField>
    <cacheField name="category" numFmtId="0">
      <sharedItems count="3">
        <s v="Electronics"/>
        <s v="Furniture"/>
        <s v="Accessories"/>
      </sharedItems>
    </cacheField>
    <cacheField name="quantity" numFmtId="0">
      <sharedItems containsSemiMixedTypes="0" containsString="0" containsNumber="1" containsInteger="1" minValue="1" maxValue="5" count="5">
        <n v="5"/>
        <n v="1"/>
        <n v="4"/>
        <n v="3"/>
        <n v="2"/>
      </sharedItems>
    </cacheField>
    <cacheField name="unit_price" numFmtId="44">
      <sharedItems containsSemiMixedTypes="0" containsString="0" containsNumber="1" containsInteger="1" minValue="20" maxValue="800"/>
    </cacheField>
    <cacheField name="sales_total" numFmtId="44">
      <sharedItems containsSemiMixedTypes="0" containsString="0" containsNumber="1" containsInteger="1" minValue="20" maxValue="4000" count="30">
        <n v="1500"/>
        <n v="120"/>
        <n v="2000"/>
        <n v="800"/>
        <n v="600"/>
        <n v="300"/>
        <n v="4000"/>
        <n v="480"/>
        <n v="60"/>
        <n v="100"/>
        <n v="40"/>
        <n v="360"/>
        <n v="240"/>
        <n v="30"/>
        <n v="2500"/>
        <n v="150"/>
        <n v="1000"/>
        <n v="400"/>
        <n v="1600"/>
        <n v="50"/>
        <n v="2400"/>
        <n v="500"/>
        <n v="1200"/>
        <n v="20"/>
        <n v="90"/>
        <n v="200"/>
        <n v="80"/>
        <n v="250"/>
        <n v="900"/>
        <n v="3200"/>
      </sharedItems>
    </cacheField>
    <cacheField name="Days (order_date)" numFmtId="0" databaseField="0">
      <fieldGroup base="1">
        <rangePr groupBy="days" startDate="2024-01-02T00:00:00" endDate="2024-12-30T00:00:00"/>
        <groupItems count="368">
          <s v="&lt;1/2/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4"/>
        </groupItems>
      </fieldGroup>
    </cacheField>
    <cacheField name="Months (order_date)" numFmtId="0" databaseField="0">
      <fieldGroup base="1">
        <rangePr groupBy="months" startDate="2024-01-02T00:00:00" endDate="2024-12-30T00:00:00"/>
        <groupItems count="14">
          <s v="&lt;1/2/2024"/>
          <s v="Jan"/>
          <s v="Feb"/>
          <s v="Mar"/>
          <s v="Apr"/>
          <s v="May"/>
          <s v="Jun"/>
          <s v="Jul"/>
          <s v="Aug"/>
          <s v="Sep"/>
          <s v="Oct"/>
          <s v="Nov"/>
          <s v="Dec"/>
          <s v="&gt;12/30/2024"/>
        </groupItems>
      </fieldGroup>
    </cacheField>
  </cacheFields>
  <extLst>
    <ext xmlns:x14="http://schemas.microsoft.com/office/spreadsheetml/2009/9/main" uri="{725AE2AE-9491-48be-B2B4-4EB974FC3084}">
      <x14:pivotCacheDefinition pivotCacheId="13587702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
  <r>
    <x v="0"/>
    <x v="0"/>
    <x v="0"/>
    <x v="0"/>
    <x v="0"/>
    <n v="300"/>
    <x v="0"/>
  </r>
  <r>
    <x v="1"/>
    <x v="1"/>
    <x v="1"/>
    <x v="1"/>
    <x v="1"/>
    <n v="120"/>
    <x v="1"/>
  </r>
  <r>
    <x v="2"/>
    <x v="2"/>
    <x v="2"/>
    <x v="0"/>
    <x v="2"/>
    <n v="500"/>
    <x v="2"/>
  </r>
  <r>
    <x v="3"/>
    <x v="3"/>
    <x v="3"/>
    <x v="1"/>
    <x v="2"/>
    <n v="200"/>
    <x v="3"/>
  </r>
  <r>
    <x v="4"/>
    <x v="4"/>
    <x v="2"/>
    <x v="0"/>
    <x v="3"/>
    <n v="500"/>
    <x v="0"/>
  </r>
  <r>
    <x v="5"/>
    <x v="5"/>
    <x v="2"/>
    <x v="0"/>
    <x v="3"/>
    <n v="500"/>
    <x v="0"/>
  </r>
  <r>
    <x v="6"/>
    <x v="6"/>
    <x v="3"/>
    <x v="1"/>
    <x v="3"/>
    <n v="200"/>
    <x v="4"/>
  </r>
  <r>
    <x v="7"/>
    <x v="7"/>
    <x v="3"/>
    <x v="1"/>
    <x v="3"/>
    <n v="200"/>
    <x v="4"/>
  </r>
  <r>
    <x v="8"/>
    <x v="8"/>
    <x v="0"/>
    <x v="0"/>
    <x v="1"/>
    <n v="300"/>
    <x v="5"/>
  </r>
  <r>
    <x v="9"/>
    <x v="9"/>
    <x v="4"/>
    <x v="0"/>
    <x v="0"/>
    <n v="800"/>
    <x v="6"/>
  </r>
  <r>
    <x v="10"/>
    <x v="10"/>
    <x v="3"/>
    <x v="1"/>
    <x v="2"/>
    <n v="200"/>
    <x v="3"/>
  </r>
  <r>
    <x v="11"/>
    <x v="11"/>
    <x v="1"/>
    <x v="1"/>
    <x v="2"/>
    <n v="120"/>
    <x v="7"/>
  </r>
  <r>
    <x v="12"/>
    <x v="12"/>
    <x v="5"/>
    <x v="2"/>
    <x v="4"/>
    <n v="30"/>
    <x v="8"/>
  </r>
  <r>
    <x v="13"/>
    <x v="13"/>
    <x v="1"/>
    <x v="1"/>
    <x v="1"/>
    <n v="120"/>
    <x v="1"/>
  </r>
  <r>
    <x v="14"/>
    <x v="14"/>
    <x v="6"/>
    <x v="2"/>
    <x v="4"/>
    <n v="50"/>
    <x v="9"/>
  </r>
  <r>
    <x v="15"/>
    <x v="15"/>
    <x v="7"/>
    <x v="2"/>
    <x v="4"/>
    <n v="20"/>
    <x v="10"/>
  </r>
  <r>
    <x v="16"/>
    <x v="16"/>
    <x v="7"/>
    <x v="2"/>
    <x v="3"/>
    <n v="20"/>
    <x v="8"/>
  </r>
  <r>
    <x v="17"/>
    <x v="17"/>
    <x v="1"/>
    <x v="1"/>
    <x v="3"/>
    <n v="120"/>
    <x v="11"/>
  </r>
  <r>
    <x v="18"/>
    <x v="18"/>
    <x v="3"/>
    <x v="1"/>
    <x v="2"/>
    <n v="200"/>
    <x v="3"/>
  </r>
  <r>
    <x v="19"/>
    <x v="19"/>
    <x v="1"/>
    <x v="1"/>
    <x v="2"/>
    <n v="120"/>
    <x v="7"/>
  </r>
  <r>
    <x v="20"/>
    <x v="20"/>
    <x v="5"/>
    <x v="2"/>
    <x v="2"/>
    <n v="30"/>
    <x v="1"/>
  </r>
  <r>
    <x v="21"/>
    <x v="21"/>
    <x v="7"/>
    <x v="2"/>
    <x v="4"/>
    <n v="20"/>
    <x v="10"/>
  </r>
  <r>
    <x v="22"/>
    <x v="22"/>
    <x v="0"/>
    <x v="0"/>
    <x v="0"/>
    <n v="300"/>
    <x v="0"/>
  </r>
  <r>
    <x v="23"/>
    <x v="23"/>
    <x v="1"/>
    <x v="1"/>
    <x v="4"/>
    <n v="120"/>
    <x v="12"/>
  </r>
  <r>
    <x v="24"/>
    <x v="24"/>
    <x v="5"/>
    <x v="2"/>
    <x v="1"/>
    <n v="30"/>
    <x v="13"/>
  </r>
  <r>
    <x v="25"/>
    <x v="25"/>
    <x v="3"/>
    <x v="1"/>
    <x v="3"/>
    <n v="200"/>
    <x v="4"/>
  </r>
  <r>
    <x v="26"/>
    <x v="2"/>
    <x v="2"/>
    <x v="0"/>
    <x v="0"/>
    <n v="500"/>
    <x v="14"/>
  </r>
  <r>
    <x v="27"/>
    <x v="26"/>
    <x v="5"/>
    <x v="2"/>
    <x v="2"/>
    <n v="30"/>
    <x v="1"/>
  </r>
  <r>
    <x v="28"/>
    <x v="27"/>
    <x v="7"/>
    <x v="2"/>
    <x v="0"/>
    <n v="20"/>
    <x v="9"/>
  </r>
  <r>
    <x v="29"/>
    <x v="28"/>
    <x v="5"/>
    <x v="2"/>
    <x v="0"/>
    <n v="30"/>
    <x v="15"/>
  </r>
  <r>
    <x v="30"/>
    <x v="29"/>
    <x v="2"/>
    <x v="0"/>
    <x v="4"/>
    <n v="500"/>
    <x v="16"/>
  </r>
  <r>
    <x v="31"/>
    <x v="30"/>
    <x v="5"/>
    <x v="2"/>
    <x v="2"/>
    <n v="30"/>
    <x v="1"/>
  </r>
  <r>
    <x v="32"/>
    <x v="31"/>
    <x v="2"/>
    <x v="0"/>
    <x v="4"/>
    <n v="500"/>
    <x v="16"/>
  </r>
  <r>
    <x v="33"/>
    <x v="32"/>
    <x v="3"/>
    <x v="1"/>
    <x v="2"/>
    <n v="200"/>
    <x v="3"/>
  </r>
  <r>
    <x v="34"/>
    <x v="33"/>
    <x v="3"/>
    <x v="1"/>
    <x v="4"/>
    <n v="200"/>
    <x v="17"/>
  </r>
  <r>
    <x v="35"/>
    <x v="34"/>
    <x v="0"/>
    <x v="0"/>
    <x v="4"/>
    <n v="300"/>
    <x v="4"/>
  </r>
  <r>
    <x v="36"/>
    <x v="35"/>
    <x v="4"/>
    <x v="0"/>
    <x v="4"/>
    <n v="800"/>
    <x v="18"/>
  </r>
  <r>
    <x v="37"/>
    <x v="36"/>
    <x v="6"/>
    <x v="2"/>
    <x v="1"/>
    <n v="50"/>
    <x v="19"/>
  </r>
  <r>
    <x v="38"/>
    <x v="37"/>
    <x v="1"/>
    <x v="1"/>
    <x v="1"/>
    <n v="120"/>
    <x v="1"/>
  </r>
  <r>
    <x v="39"/>
    <x v="38"/>
    <x v="0"/>
    <x v="0"/>
    <x v="4"/>
    <n v="300"/>
    <x v="4"/>
  </r>
  <r>
    <x v="40"/>
    <x v="39"/>
    <x v="4"/>
    <x v="0"/>
    <x v="3"/>
    <n v="800"/>
    <x v="20"/>
  </r>
  <r>
    <x v="41"/>
    <x v="40"/>
    <x v="4"/>
    <x v="0"/>
    <x v="1"/>
    <n v="800"/>
    <x v="3"/>
  </r>
  <r>
    <x v="42"/>
    <x v="41"/>
    <x v="1"/>
    <x v="1"/>
    <x v="3"/>
    <n v="120"/>
    <x v="11"/>
  </r>
  <r>
    <x v="43"/>
    <x v="42"/>
    <x v="2"/>
    <x v="0"/>
    <x v="1"/>
    <n v="500"/>
    <x v="21"/>
  </r>
  <r>
    <x v="44"/>
    <x v="43"/>
    <x v="1"/>
    <x v="1"/>
    <x v="3"/>
    <n v="120"/>
    <x v="11"/>
  </r>
  <r>
    <x v="45"/>
    <x v="44"/>
    <x v="3"/>
    <x v="1"/>
    <x v="3"/>
    <n v="200"/>
    <x v="4"/>
  </r>
  <r>
    <x v="46"/>
    <x v="45"/>
    <x v="4"/>
    <x v="0"/>
    <x v="1"/>
    <n v="800"/>
    <x v="3"/>
  </r>
  <r>
    <x v="47"/>
    <x v="46"/>
    <x v="2"/>
    <x v="0"/>
    <x v="4"/>
    <n v="500"/>
    <x v="16"/>
  </r>
  <r>
    <x v="48"/>
    <x v="47"/>
    <x v="2"/>
    <x v="0"/>
    <x v="1"/>
    <n v="500"/>
    <x v="21"/>
  </r>
  <r>
    <x v="49"/>
    <x v="48"/>
    <x v="2"/>
    <x v="0"/>
    <x v="2"/>
    <n v="500"/>
    <x v="2"/>
  </r>
  <r>
    <x v="50"/>
    <x v="49"/>
    <x v="3"/>
    <x v="1"/>
    <x v="0"/>
    <n v="200"/>
    <x v="16"/>
  </r>
  <r>
    <x v="51"/>
    <x v="50"/>
    <x v="6"/>
    <x v="2"/>
    <x v="4"/>
    <n v="50"/>
    <x v="9"/>
  </r>
  <r>
    <x v="52"/>
    <x v="51"/>
    <x v="1"/>
    <x v="1"/>
    <x v="4"/>
    <n v="120"/>
    <x v="12"/>
  </r>
  <r>
    <x v="53"/>
    <x v="44"/>
    <x v="1"/>
    <x v="1"/>
    <x v="2"/>
    <n v="120"/>
    <x v="7"/>
  </r>
  <r>
    <x v="54"/>
    <x v="45"/>
    <x v="0"/>
    <x v="0"/>
    <x v="0"/>
    <n v="300"/>
    <x v="0"/>
  </r>
  <r>
    <x v="55"/>
    <x v="52"/>
    <x v="4"/>
    <x v="0"/>
    <x v="0"/>
    <n v="800"/>
    <x v="6"/>
  </r>
  <r>
    <x v="56"/>
    <x v="53"/>
    <x v="5"/>
    <x v="2"/>
    <x v="2"/>
    <n v="30"/>
    <x v="1"/>
  </r>
  <r>
    <x v="57"/>
    <x v="54"/>
    <x v="4"/>
    <x v="0"/>
    <x v="1"/>
    <n v="800"/>
    <x v="3"/>
  </r>
  <r>
    <x v="58"/>
    <x v="55"/>
    <x v="1"/>
    <x v="1"/>
    <x v="2"/>
    <n v="120"/>
    <x v="7"/>
  </r>
  <r>
    <x v="59"/>
    <x v="56"/>
    <x v="6"/>
    <x v="2"/>
    <x v="4"/>
    <n v="50"/>
    <x v="9"/>
  </r>
  <r>
    <x v="60"/>
    <x v="57"/>
    <x v="4"/>
    <x v="0"/>
    <x v="1"/>
    <n v="800"/>
    <x v="3"/>
  </r>
  <r>
    <x v="61"/>
    <x v="58"/>
    <x v="0"/>
    <x v="0"/>
    <x v="4"/>
    <n v="300"/>
    <x v="4"/>
  </r>
  <r>
    <x v="62"/>
    <x v="46"/>
    <x v="2"/>
    <x v="0"/>
    <x v="1"/>
    <n v="500"/>
    <x v="21"/>
  </r>
  <r>
    <x v="63"/>
    <x v="59"/>
    <x v="5"/>
    <x v="2"/>
    <x v="0"/>
    <n v="30"/>
    <x v="15"/>
  </r>
  <r>
    <x v="64"/>
    <x v="60"/>
    <x v="2"/>
    <x v="0"/>
    <x v="3"/>
    <n v="500"/>
    <x v="0"/>
  </r>
  <r>
    <x v="65"/>
    <x v="61"/>
    <x v="0"/>
    <x v="0"/>
    <x v="2"/>
    <n v="300"/>
    <x v="22"/>
  </r>
  <r>
    <x v="66"/>
    <x v="62"/>
    <x v="3"/>
    <x v="1"/>
    <x v="0"/>
    <n v="200"/>
    <x v="16"/>
  </r>
  <r>
    <x v="67"/>
    <x v="63"/>
    <x v="6"/>
    <x v="2"/>
    <x v="3"/>
    <n v="50"/>
    <x v="15"/>
  </r>
  <r>
    <x v="68"/>
    <x v="64"/>
    <x v="2"/>
    <x v="0"/>
    <x v="2"/>
    <n v="500"/>
    <x v="2"/>
  </r>
  <r>
    <x v="69"/>
    <x v="65"/>
    <x v="1"/>
    <x v="1"/>
    <x v="4"/>
    <n v="120"/>
    <x v="12"/>
  </r>
  <r>
    <x v="70"/>
    <x v="66"/>
    <x v="7"/>
    <x v="2"/>
    <x v="1"/>
    <n v="20"/>
    <x v="23"/>
  </r>
  <r>
    <x v="71"/>
    <x v="3"/>
    <x v="7"/>
    <x v="2"/>
    <x v="0"/>
    <n v="20"/>
    <x v="9"/>
  </r>
  <r>
    <x v="72"/>
    <x v="67"/>
    <x v="7"/>
    <x v="2"/>
    <x v="4"/>
    <n v="20"/>
    <x v="10"/>
  </r>
  <r>
    <x v="73"/>
    <x v="68"/>
    <x v="6"/>
    <x v="2"/>
    <x v="4"/>
    <n v="50"/>
    <x v="9"/>
  </r>
  <r>
    <x v="74"/>
    <x v="69"/>
    <x v="4"/>
    <x v="0"/>
    <x v="1"/>
    <n v="800"/>
    <x v="3"/>
  </r>
  <r>
    <x v="75"/>
    <x v="57"/>
    <x v="5"/>
    <x v="2"/>
    <x v="0"/>
    <n v="30"/>
    <x v="15"/>
  </r>
  <r>
    <x v="76"/>
    <x v="10"/>
    <x v="2"/>
    <x v="0"/>
    <x v="4"/>
    <n v="500"/>
    <x v="16"/>
  </r>
  <r>
    <x v="77"/>
    <x v="70"/>
    <x v="7"/>
    <x v="2"/>
    <x v="1"/>
    <n v="20"/>
    <x v="23"/>
  </r>
  <r>
    <x v="78"/>
    <x v="1"/>
    <x v="5"/>
    <x v="2"/>
    <x v="3"/>
    <n v="30"/>
    <x v="24"/>
  </r>
  <r>
    <x v="79"/>
    <x v="71"/>
    <x v="7"/>
    <x v="2"/>
    <x v="1"/>
    <n v="20"/>
    <x v="23"/>
  </r>
  <r>
    <x v="80"/>
    <x v="72"/>
    <x v="1"/>
    <x v="1"/>
    <x v="3"/>
    <n v="120"/>
    <x v="11"/>
  </r>
  <r>
    <x v="81"/>
    <x v="73"/>
    <x v="0"/>
    <x v="0"/>
    <x v="4"/>
    <n v="300"/>
    <x v="4"/>
  </r>
  <r>
    <x v="82"/>
    <x v="25"/>
    <x v="2"/>
    <x v="0"/>
    <x v="4"/>
    <n v="500"/>
    <x v="16"/>
  </r>
  <r>
    <x v="83"/>
    <x v="58"/>
    <x v="3"/>
    <x v="1"/>
    <x v="4"/>
    <n v="200"/>
    <x v="17"/>
  </r>
  <r>
    <x v="84"/>
    <x v="74"/>
    <x v="6"/>
    <x v="2"/>
    <x v="4"/>
    <n v="50"/>
    <x v="9"/>
  </r>
  <r>
    <x v="85"/>
    <x v="75"/>
    <x v="3"/>
    <x v="1"/>
    <x v="1"/>
    <n v="200"/>
    <x v="25"/>
  </r>
  <r>
    <x v="86"/>
    <x v="76"/>
    <x v="5"/>
    <x v="2"/>
    <x v="0"/>
    <n v="30"/>
    <x v="15"/>
  </r>
  <r>
    <x v="87"/>
    <x v="77"/>
    <x v="6"/>
    <x v="2"/>
    <x v="1"/>
    <n v="50"/>
    <x v="19"/>
  </r>
  <r>
    <x v="88"/>
    <x v="36"/>
    <x v="5"/>
    <x v="2"/>
    <x v="0"/>
    <n v="30"/>
    <x v="15"/>
  </r>
  <r>
    <x v="89"/>
    <x v="78"/>
    <x v="7"/>
    <x v="2"/>
    <x v="1"/>
    <n v="20"/>
    <x v="23"/>
  </r>
  <r>
    <x v="90"/>
    <x v="79"/>
    <x v="4"/>
    <x v="0"/>
    <x v="4"/>
    <n v="800"/>
    <x v="18"/>
  </r>
  <r>
    <x v="91"/>
    <x v="80"/>
    <x v="3"/>
    <x v="1"/>
    <x v="1"/>
    <n v="200"/>
    <x v="25"/>
  </r>
  <r>
    <x v="92"/>
    <x v="81"/>
    <x v="1"/>
    <x v="1"/>
    <x v="1"/>
    <n v="120"/>
    <x v="1"/>
  </r>
  <r>
    <x v="93"/>
    <x v="82"/>
    <x v="0"/>
    <x v="0"/>
    <x v="2"/>
    <n v="300"/>
    <x v="22"/>
  </r>
  <r>
    <x v="94"/>
    <x v="22"/>
    <x v="0"/>
    <x v="0"/>
    <x v="2"/>
    <n v="300"/>
    <x v="22"/>
  </r>
  <r>
    <x v="95"/>
    <x v="83"/>
    <x v="7"/>
    <x v="2"/>
    <x v="2"/>
    <n v="20"/>
    <x v="26"/>
  </r>
  <r>
    <x v="96"/>
    <x v="84"/>
    <x v="7"/>
    <x v="2"/>
    <x v="4"/>
    <n v="20"/>
    <x v="10"/>
  </r>
  <r>
    <x v="97"/>
    <x v="72"/>
    <x v="1"/>
    <x v="1"/>
    <x v="0"/>
    <n v="120"/>
    <x v="4"/>
  </r>
  <r>
    <x v="98"/>
    <x v="85"/>
    <x v="3"/>
    <x v="1"/>
    <x v="4"/>
    <n v="200"/>
    <x v="17"/>
  </r>
  <r>
    <x v="99"/>
    <x v="60"/>
    <x v="6"/>
    <x v="2"/>
    <x v="2"/>
    <n v="50"/>
    <x v="25"/>
  </r>
  <r>
    <x v="100"/>
    <x v="86"/>
    <x v="1"/>
    <x v="1"/>
    <x v="4"/>
    <n v="120"/>
    <x v="12"/>
  </r>
  <r>
    <x v="101"/>
    <x v="87"/>
    <x v="3"/>
    <x v="1"/>
    <x v="0"/>
    <n v="200"/>
    <x v="16"/>
  </r>
  <r>
    <x v="102"/>
    <x v="84"/>
    <x v="1"/>
    <x v="1"/>
    <x v="0"/>
    <n v="120"/>
    <x v="4"/>
  </r>
  <r>
    <x v="103"/>
    <x v="88"/>
    <x v="3"/>
    <x v="1"/>
    <x v="1"/>
    <n v="200"/>
    <x v="25"/>
  </r>
  <r>
    <x v="104"/>
    <x v="89"/>
    <x v="5"/>
    <x v="2"/>
    <x v="0"/>
    <n v="30"/>
    <x v="15"/>
  </r>
  <r>
    <x v="105"/>
    <x v="90"/>
    <x v="2"/>
    <x v="0"/>
    <x v="0"/>
    <n v="500"/>
    <x v="14"/>
  </r>
  <r>
    <x v="106"/>
    <x v="91"/>
    <x v="5"/>
    <x v="2"/>
    <x v="1"/>
    <n v="30"/>
    <x v="13"/>
  </r>
  <r>
    <x v="107"/>
    <x v="92"/>
    <x v="4"/>
    <x v="0"/>
    <x v="3"/>
    <n v="800"/>
    <x v="20"/>
  </r>
  <r>
    <x v="108"/>
    <x v="82"/>
    <x v="5"/>
    <x v="2"/>
    <x v="4"/>
    <n v="30"/>
    <x v="8"/>
  </r>
  <r>
    <x v="109"/>
    <x v="93"/>
    <x v="2"/>
    <x v="0"/>
    <x v="0"/>
    <n v="500"/>
    <x v="14"/>
  </r>
  <r>
    <x v="110"/>
    <x v="94"/>
    <x v="6"/>
    <x v="2"/>
    <x v="1"/>
    <n v="50"/>
    <x v="19"/>
  </r>
  <r>
    <x v="111"/>
    <x v="95"/>
    <x v="7"/>
    <x v="2"/>
    <x v="2"/>
    <n v="20"/>
    <x v="26"/>
  </r>
  <r>
    <x v="112"/>
    <x v="55"/>
    <x v="5"/>
    <x v="2"/>
    <x v="2"/>
    <n v="30"/>
    <x v="1"/>
  </r>
  <r>
    <x v="113"/>
    <x v="96"/>
    <x v="5"/>
    <x v="2"/>
    <x v="3"/>
    <n v="30"/>
    <x v="24"/>
  </r>
  <r>
    <x v="114"/>
    <x v="97"/>
    <x v="7"/>
    <x v="2"/>
    <x v="0"/>
    <n v="20"/>
    <x v="9"/>
  </r>
  <r>
    <x v="115"/>
    <x v="98"/>
    <x v="0"/>
    <x v="0"/>
    <x v="2"/>
    <n v="300"/>
    <x v="22"/>
  </r>
  <r>
    <x v="116"/>
    <x v="99"/>
    <x v="6"/>
    <x v="2"/>
    <x v="2"/>
    <n v="50"/>
    <x v="25"/>
  </r>
  <r>
    <x v="117"/>
    <x v="100"/>
    <x v="2"/>
    <x v="0"/>
    <x v="3"/>
    <n v="500"/>
    <x v="0"/>
  </r>
  <r>
    <x v="118"/>
    <x v="101"/>
    <x v="2"/>
    <x v="0"/>
    <x v="3"/>
    <n v="500"/>
    <x v="0"/>
  </r>
  <r>
    <x v="119"/>
    <x v="102"/>
    <x v="1"/>
    <x v="1"/>
    <x v="0"/>
    <n v="120"/>
    <x v="4"/>
  </r>
  <r>
    <x v="120"/>
    <x v="25"/>
    <x v="6"/>
    <x v="2"/>
    <x v="4"/>
    <n v="50"/>
    <x v="9"/>
  </r>
  <r>
    <x v="121"/>
    <x v="103"/>
    <x v="5"/>
    <x v="2"/>
    <x v="2"/>
    <n v="30"/>
    <x v="1"/>
  </r>
  <r>
    <x v="122"/>
    <x v="104"/>
    <x v="4"/>
    <x v="0"/>
    <x v="4"/>
    <n v="800"/>
    <x v="18"/>
  </r>
  <r>
    <x v="123"/>
    <x v="105"/>
    <x v="1"/>
    <x v="1"/>
    <x v="4"/>
    <n v="120"/>
    <x v="12"/>
  </r>
  <r>
    <x v="124"/>
    <x v="106"/>
    <x v="3"/>
    <x v="1"/>
    <x v="1"/>
    <n v="200"/>
    <x v="25"/>
  </r>
  <r>
    <x v="125"/>
    <x v="28"/>
    <x v="4"/>
    <x v="0"/>
    <x v="1"/>
    <n v="800"/>
    <x v="3"/>
  </r>
  <r>
    <x v="126"/>
    <x v="107"/>
    <x v="7"/>
    <x v="2"/>
    <x v="0"/>
    <n v="20"/>
    <x v="9"/>
  </r>
  <r>
    <x v="127"/>
    <x v="45"/>
    <x v="5"/>
    <x v="2"/>
    <x v="2"/>
    <n v="30"/>
    <x v="1"/>
  </r>
  <r>
    <x v="128"/>
    <x v="9"/>
    <x v="1"/>
    <x v="1"/>
    <x v="1"/>
    <n v="120"/>
    <x v="1"/>
  </r>
  <r>
    <x v="129"/>
    <x v="108"/>
    <x v="5"/>
    <x v="2"/>
    <x v="2"/>
    <n v="30"/>
    <x v="1"/>
  </r>
  <r>
    <x v="130"/>
    <x v="109"/>
    <x v="7"/>
    <x v="2"/>
    <x v="1"/>
    <n v="20"/>
    <x v="23"/>
  </r>
  <r>
    <x v="131"/>
    <x v="98"/>
    <x v="2"/>
    <x v="0"/>
    <x v="0"/>
    <n v="500"/>
    <x v="14"/>
  </r>
  <r>
    <x v="132"/>
    <x v="110"/>
    <x v="1"/>
    <x v="1"/>
    <x v="0"/>
    <n v="120"/>
    <x v="4"/>
  </r>
  <r>
    <x v="133"/>
    <x v="111"/>
    <x v="1"/>
    <x v="1"/>
    <x v="4"/>
    <n v="120"/>
    <x v="12"/>
  </r>
  <r>
    <x v="134"/>
    <x v="93"/>
    <x v="0"/>
    <x v="0"/>
    <x v="0"/>
    <n v="300"/>
    <x v="0"/>
  </r>
  <r>
    <x v="135"/>
    <x v="112"/>
    <x v="5"/>
    <x v="2"/>
    <x v="3"/>
    <n v="30"/>
    <x v="24"/>
  </r>
  <r>
    <x v="136"/>
    <x v="113"/>
    <x v="5"/>
    <x v="2"/>
    <x v="4"/>
    <n v="30"/>
    <x v="8"/>
  </r>
  <r>
    <x v="137"/>
    <x v="14"/>
    <x v="5"/>
    <x v="2"/>
    <x v="4"/>
    <n v="30"/>
    <x v="8"/>
  </r>
  <r>
    <x v="138"/>
    <x v="114"/>
    <x v="1"/>
    <x v="1"/>
    <x v="3"/>
    <n v="120"/>
    <x v="11"/>
  </r>
  <r>
    <x v="139"/>
    <x v="115"/>
    <x v="7"/>
    <x v="2"/>
    <x v="4"/>
    <n v="20"/>
    <x v="10"/>
  </r>
  <r>
    <x v="140"/>
    <x v="116"/>
    <x v="3"/>
    <x v="1"/>
    <x v="4"/>
    <n v="200"/>
    <x v="17"/>
  </r>
  <r>
    <x v="141"/>
    <x v="117"/>
    <x v="3"/>
    <x v="1"/>
    <x v="3"/>
    <n v="200"/>
    <x v="4"/>
  </r>
  <r>
    <x v="142"/>
    <x v="78"/>
    <x v="4"/>
    <x v="0"/>
    <x v="4"/>
    <n v="800"/>
    <x v="18"/>
  </r>
  <r>
    <x v="143"/>
    <x v="93"/>
    <x v="6"/>
    <x v="2"/>
    <x v="2"/>
    <n v="50"/>
    <x v="25"/>
  </r>
  <r>
    <x v="144"/>
    <x v="91"/>
    <x v="6"/>
    <x v="2"/>
    <x v="4"/>
    <n v="50"/>
    <x v="9"/>
  </r>
  <r>
    <x v="145"/>
    <x v="118"/>
    <x v="2"/>
    <x v="0"/>
    <x v="4"/>
    <n v="500"/>
    <x v="16"/>
  </r>
  <r>
    <x v="146"/>
    <x v="119"/>
    <x v="6"/>
    <x v="2"/>
    <x v="3"/>
    <n v="50"/>
    <x v="15"/>
  </r>
  <r>
    <x v="147"/>
    <x v="120"/>
    <x v="6"/>
    <x v="2"/>
    <x v="1"/>
    <n v="50"/>
    <x v="19"/>
  </r>
  <r>
    <x v="148"/>
    <x v="37"/>
    <x v="4"/>
    <x v="0"/>
    <x v="4"/>
    <n v="800"/>
    <x v="18"/>
  </r>
  <r>
    <x v="149"/>
    <x v="84"/>
    <x v="5"/>
    <x v="2"/>
    <x v="1"/>
    <n v="30"/>
    <x v="13"/>
  </r>
  <r>
    <x v="150"/>
    <x v="121"/>
    <x v="4"/>
    <x v="0"/>
    <x v="3"/>
    <n v="800"/>
    <x v="20"/>
  </r>
  <r>
    <x v="151"/>
    <x v="122"/>
    <x v="3"/>
    <x v="1"/>
    <x v="0"/>
    <n v="200"/>
    <x v="16"/>
  </r>
  <r>
    <x v="152"/>
    <x v="54"/>
    <x v="6"/>
    <x v="2"/>
    <x v="0"/>
    <n v="50"/>
    <x v="27"/>
  </r>
  <r>
    <x v="153"/>
    <x v="67"/>
    <x v="3"/>
    <x v="1"/>
    <x v="1"/>
    <n v="200"/>
    <x v="25"/>
  </r>
  <r>
    <x v="154"/>
    <x v="123"/>
    <x v="3"/>
    <x v="1"/>
    <x v="0"/>
    <n v="200"/>
    <x v="16"/>
  </r>
  <r>
    <x v="155"/>
    <x v="124"/>
    <x v="6"/>
    <x v="2"/>
    <x v="2"/>
    <n v="50"/>
    <x v="25"/>
  </r>
  <r>
    <x v="156"/>
    <x v="125"/>
    <x v="3"/>
    <x v="1"/>
    <x v="3"/>
    <n v="200"/>
    <x v="4"/>
  </r>
  <r>
    <x v="157"/>
    <x v="79"/>
    <x v="2"/>
    <x v="0"/>
    <x v="3"/>
    <n v="500"/>
    <x v="0"/>
  </r>
  <r>
    <x v="158"/>
    <x v="126"/>
    <x v="7"/>
    <x v="2"/>
    <x v="4"/>
    <n v="20"/>
    <x v="10"/>
  </r>
  <r>
    <x v="159"/>
    <x v="127"/>
    <x v="7"/>
    <x v="2"/>
    <x v="0"/>
    <n v="20"/>
    <x v="9"/>
  </r>
  <r>
    <x v="160"/>
    <x v="128"/>
    <x v="3"/>
    <x v="1"/>
    <x v="0"/>
    <n v="200"/>
    <x v="16"/>
  </r>
  <r>
    <x v="161"/>
    <x v="129"/>
    <x v="3"/>
    <x v="1"/>
    <x v="0"/>
    <n v="200"/>
    <x v="16"/>
  </r>
  <r>
    <x v="162"/>
    <x v="97"/>
    <x v="1"/>
    <x v="1"/>
    <x v="4"/>
    <n v="120"/>
    <x v="12"/>
  </r>
  <r>
    <x v="163"/>
    <x v="101"/>
    <x v="6"/>
    <x v="2"/>
    <x v="4"/>
    <n v="50"/>
    <x v="9"/>
  </r>
  <r>
    <x v="164"/>
    <x v="130"/>
    <x v="6"/>
    <x v="2"/>
    <x v="4"/>
    <n v="50"/>
    <x v="9"/>
  </r>
  <r>
    <x v="165"/>
    <x v="131"/>
    <x v="2"/>
    <x v="0"/>
    <x v="3"/>
    <n v="500"/>
    <x v="0"/>
  </r>
  <r>
    <x v="166"/>
    <x v="0"/>
    <x v="6"/>
    <x v="2"/>
    <x v="2"/>
    <n v="50"/>
    <x v="25"/>
  </r>
  <r>
    <x v="167"/>
    <x v="132"/>
    <x v="7"/>
    <x v="2"/>
    <x v="2"/>
    <n v="20"/>
    <x v="26"/>
  </r>
  <r>
    <x v="168"/>
    <x v="133"/>
    <x v="6"/>
    <x v="2"/>
    <x v="1"/>
    <n v="50"/>
    <x v="19"/>
  </r>
  <r>
    <x v="169"/>
    <x v="134"/>
    <x v="1"/>
    <x v="1"/>
    <x v="4"/>
    <n v="120"/>
    <x v="12"/>
  </r>
  <r>
    <x v="170"/>
    <x v="135"/>
    <x v="4"/>
    <x v="0"/>
    <x v="4"/>
    <n v="800"/>
    <x v="18"/>
  </r>
  <r>
    <x v="171"/>
    <x v="136"/>
    <x v="2"/>
    <x v="0"/>
    <x v="2"/>
    <n v="500"/>
    <x v="2"/>
  </r>
  <r>
    <x v="172"/>
    <x v="134"/>
    <x v="2"/>
    <x v="0"/>
    <x v="2"/>
    <n v="500"/>
    <x v="2"/>
  </r>
  <r>
    <x v="173"/>
    <x v="33"/>
    <x v="3"/>
    <x v="1"/>
    <x v="4"/>
    <n v="200"/>
    <x v="17"/>
  </r>
  <r>
    <x v="174"/>
    <x v="137"/>
    <x v="6"/>
    <x v="2"/>
    <x v="1"/>
    <n v="50"/>
    <x v="19"/>
  </r>
  <r>
    <x v="175"/>
    <x v="138"/>
    <x v="3"/>
    <x v="1"/>
    <x v="3"/>
    <n v="200"/>
    <x v="4"/>
  </r>
  <r>
    <x v="176"/>
    <x v="139"/>
    <x v="5"/>
    <x v="2"/>
    <x v="1"/>
    <n v="30"/>
    <x v="13"/>
  </r>
  <r>
    <x v="177"/>
    <x v="119"/>
    <x v="1"/>
    <x v="1"/>
    <x v="1"/>
    <n v="120"/>
    <x v="1"/>
  </r>
  <r>
    <x v="178"/>
    <x v="140"/>
    <x v="2"/>
    <x v="0"/>
    <x v="4"/>
    <n v="500"/>
    <x v="16"/>
  </r>
  <r>
    <x v="179"/>
    <x v="141"/>
    <x v="5"/>
    <x v="2"/>
    <x v="2"/>
    <n v="30"/>
    <x v="1"/>
  </r>
  <r>
    <x v="180"/>
    <x v="80"/>
    <x v="4"/>
    <x v="0"/>
    <x v="0"/>
    <n v="800"/>
    <x v="6"/>
  </r>
  <r>
    <x v="181"/>
    <x v="74"/>
    <x v="2"/>
    <x v="0"/>
    <x v="2"/>
    <n v="500"/>
    <x v="2"/>
  </r>
  <r>
    <x v="182"/>
    <x v="97"/>
    <x v="6"/>
    <x v="2"/>
    <x v="2"/>
    <n v="50"/>
    <x v="25"/>
  </r>
  <r>
    <x v="183"/>
    <x v="49"/>
    <x v="3"/>
    <x v="1"/>
    <x v="0"/>
    <n v="200"/>
    <x v="16"/>
  </r>
  <r>
    <x v="184"/>
    <x v="142"/>
    <x v="0"/>
    <x v="0"/>
    <x v="3"/>
    <n v="300"/>
    <x v="28"/>
  </r>
  <r>
    <x v="185"/>
    <x v="5"/>
    <x v="0"/>
    <x v="0"/>
    <x v="3"/>
    <n v="300"/>
    <x v="28"/>
  </r>
  <r>
    <x v="186"/>
    <x v="143"/>
    <x v="2"/>
    <x v="0"/>
    <x v="1"/>
    <n v="500"/>
    <x v="21"/>
  </r>
  <r>
    <x v="187"/>
    <x v="53"/>
    <x v="2"/>
    <x v="0"/>
    <x v="1"/>
    <n v="500"/>
    <x v="21"/>
  </r>
  <r>
    <x v="188"/>
    <x v="144"/>
    <x v="0"/>
    <x v="0"/>
    <x v="0"/>
    <n v="300"/>
    <x v="0"/>
  </r>
  <r>
    <x v="189"/>
    <x v="66"/>
    <x v="1"/>
    <x v="1"/>
    <x v="1"/>
    <n v="120"/>
    <x v="1"/>
  </r>
  <r>
    <x v="190"/>
    <x v="9"/>
    <x v="0"/>
    <x v="0"/>
    <x v="3"/>
    <n v="300"/>
    <x v="28"/>
  </r>
  <r>
    <x v="191"/>
    <x v="145"/>
    <x v="7"/>
    <x v="2"/>
    <x v="3"/>
    <n v="20"/>
    <x v="8"/>
  </r>
  <r>
    <x v="192"/>
    <x v="123"/>
    <x v="7"/>
    <x v="2"/>
    <x v="4"/>
    <n v="20"/>
    <x v="10"/>
  </r>
  <r>
    <x v="193"/>
    <x v="146"/>
    <x v="3"/>
    <x v="1"/>
    <x v="0"/>
    <n v="200"/>
    <x v="16"/>
  </r>
  <r>
    <x v="194"/>
    <x v="147"/>
    <x v="4"/>
    <x v="0"/>
    <x v="4"/>
    <n v="800"/>
    <x v="18"/>
  </r>
  <r>
    <x v="195"/>
    <x v="148"/>
    <x v="5"/>
    <x v="2"/>
    <x v="0"/>
    <n v="30"/>
    <x v="15"/>
  </r>
  <r>
    <x v="196"/>
    <x v="93"/>
    <x v="4"/>
    <x v="0"/>
    <x v="3"/>
    <n v="800"/>
    <x v="20"/>
  </r>
  <r>
    <x v="197"/>
    <x v="65"/>
    <x v="0"/>
    <x v="0"/>
    <x v="2"/>
    <n v="300"/>
    <x v="22"/>
  </r>
  <r>
    <x v="198"/>
    <x v="74"/>
    <x v="3"/>
    <x v="1"/>
    <x v="1"/>
    <n v="200"/>
    <x v="25"/>
  </r>
  <r>
    <x v="199"/>
    <x v="55"/>
    <x v="7"/>
    <x v="2"/>
    <x v="2"/>
    <n v="20"/>
    <x v="26"/>
  </r>
  <r>
    <x v="200"/>
    <x v="149"/>
    <x v="4"/>
    <x v="0"/>
    <x v="0"/>
    <n v="800"/>
    <x v="6"/>
  </r>
  <r>
    <x v="201"/>
    <x v="138"/>
    <x v="3"/>
    <x v="1"/>
    <x v="0"/>
    <n v="200"/>
    <x v="16"/>
  </r>
  <r>
    <x v="202"/>
    <x v="131"/>
    <x v="7"/>
    <x v="2"/>
    <x v="1"/>
    <n v="20"/>
    <x v="23"/>
  </r>
  <r>
    <x v="203"/>
    <x v="150"/>
    <x v="7"/>
    <x v="2"/>
    <x v="3"/>
    <n v="20"/>
    <x v="8"/>
  </r>
  <r>
    <x v="204"/>
    <x v="107"/>
    <x v="7"/>
    <x v="2"/>
    <x v="2"/>
    <n v="20"/>
    <x v="26"/>
  </r>
  <r>
    <x v="205"/>
    <x v="151"/>
    <x v="6"/>
    <x v="2"/>
    <x v="1"/>
    <n v="50"/>
    <x v="19"/>
  </r>
  <r>
    <x v="206"/>
    <x v="152"/>
    <x v="2"/>
    <x v="0"/>
    <x v="1"/>
    <n v="500"/>
    <x v="21"/>
  </r>
  <r>
    <x v="207"/>
    <x v="65"/>
    <x v="5"/>
    <x v="2"/>
    <x v="1"/>
    <n v="30"/>
    <x v="13"/>
  </r>
  <r>
    <x v="208"/>
    <x v="153"/>
    <x v="1"/>
    <x v="1"/>
    <x v="0"/>
    <n v="120"/>
    <x v="4"/>
  </r>
  <r>
    <x v="209"/>
    <x v="150"/>
    <x v="5"/>
    <x v="2"/>
    <x v="1"/>
    <n v="30"/>
    <x v="13"/>
  </r>
  <r>
    <x v="210"/>
    <x v="154"/>
    <x v="7"/>
    <x v="2"/>
    <x v="0"/>
    <n v="20"/>
    <x v="9"/>
  </r>
  <r>
    <x v="211"/>
    <x v="155"/>
    <x v="3"/>
    <x v="1"/>
    <x v="1"/>
    <n v="200"/>
    <x v="25"/>
  </r>
  <r>
    <x v="212"/>
    <x v="156"/>
    <x v="7"/>
    <x v="2"/>
    <x v="1"/>
    <n v="20"/>
    <x v="23"/>
  </r>
  <r>
    <x v="213"/>
    <x v="157"/>
    <x v="6"/>
    <x v="2"/>
    <x v="2"/>
    <n v="50"/>
    <x v="25"/>
  </r>
  <r>
    <x v="214"/>
    <x v="130"/>
    <x v="6"/>
    <x v="2"/>
    <x v="3"/>
    <n v="50"/>
    <x v="15"/>
  </r>
  <r>
    <x v="215"/>
    <x v="158"/>
    <x v="0"/>
    <x v="0"/>
    <x v="2"/>
    <n v="300"/>
    <x v="22"/>
  </r>
  <r>
    <x v="216"/>
    <x v="65"/>
    <x v="2"/>
    <x v="0"/>
    <x v="4"/>
    <n v="500"/>
    <x v="16"/>
  </r>
  <r>
    <x v="217"/>
    <x v="159"/>
    <x v="1"/>
    <x v="1"/>
    <x v="2"/>
    <n v="120"/>
    <x v="7"/>
  </r>
  <r>
    <x v="218"/>
    <x v="28"/>
    <x v="6"/>
    <x v="2"/>
    <x v="0"/>
    <n v="50"/>
    <x v="27"/>
  </r>
  <r>
    <x v="219"/>
    <x v="133"/>
    <x v="7"/>
    <x v="2"/>
    <x v="4"/>
    <n v="20"/>
    <x v="10"/>
  </r>
  <r>
    <x v="220"/>
    <x v="70"/>
    <x v="7"/>
    <x v="2"/>
    <x v="3"/>
    <n v="20"/>
    <x v="8"/>
  </r>
  <r>
    <x v="221"/>
    <x v="85"/>
    <x v="5"/>
    <x v="2"/>
    <x v="2"/>
    <n v="30"/>
    <x v="1"/>
  </r>
  <r>
    <x v="222"/>
    <x v="140"/>
    <x v="0"/>
    <x v="0"/>
    <x v="3"/>
    <n v="300"/>
    <x v="28"/>
  </r>
  <r>
    <x v="223"/>
    <x v="1"/>
    <x v="3"/>
    <x v="1"/>
    <x v="2"/>
    <n v="200"/>
    <x v="3"/>
  </r>
  <r>
    <x v="224"/>
    <x v="160"/>
    <x v="0"/>
    <x v="0"/>
    <x v="1"/>
    <n v="300"/>
    <x v="5"/>
  </r>
  <r>
    <x v="225"/>
    <x v="75"/>
    <x v="4"/>
    <x v="0"/>
    <x v="3"/>
    <n v="800"/>
    <x v="20"/>
  </r>
  <r>
    <x v="226"/>
    <x v="161"/>
    <x v="0"/>
    <x v="0"/>
    <x v="4"/>
    <n v="300"/>
    <x v="4"/>
  </r>
  <r>
    <x v="227"/>
    <x v="78"/>
    <x v="0"/>
    <x v="0"/>
    <x v="3"/>
    <n v="300"/>
    <x v="28"/>
  </r>
  <r>
    <x v="228"/>
    <x v="162"/>
    <x v="7"/>
    <x v="2"/>
    <x v="0"/>
    <n v="20"/>
    <x v="9"/>
  </r>
  <r>
    <x v="229"/>
    <x v="18"/>
    <x v="4"/>
    <x v="0"/>
    <x v="0"/>
    <n v="800"/>
    <x v="6"/>
  </r>
  <r>
    <x v="230"/>
    <x v="163"/>
    <x v="7"/>
    <x v="2"/>
    <x v="0"/>
    <n v="20"/>
    <x v="9"/>
  </r>
  <r>
    <x v="231"/>
    <x v="85"/>
    <x v="3"/>
    <x v="1"/>
    <x v="1"/>
    <n v="200"/>
    <x v="25"/>
  </r>
  <r>
    <x v="232"/>
    <x v="43"/>
    <x v="6"/>
    <x v="2"/>
    <x v="3"/>
    <n v="50"/>
    <x v="15"/>
  </r>
  <r>
    <x v="233"/>
    <x v="164"/>
    <x v="2"/>
    <x v="0"/>
    <x v="0"/>
    <n v="500"/>
    <x v="14"/>
  </r>
  <r>
    <x v="234"/>
    <x v="112"/>
    <x v="5"/>
    <x v="2"/>
    <x v="0"/>
    <n v="30"/>
    <x v="15"/>
  </r>
  <r>
    <x v="235"/>
    <x v="165"/>
    <x v="3"/>
    <x v="1"/>
    <x v="3"/>
    <n v="200"/>
    <x v="4"/>
  </r>
  <r>
    <x v="236"/>
    <x v="166"/>
    <x v="3"/>
    <x v="1"/>
    <x v="1"/>
    <n v="200"/>
    <x v="25"/>
  </r>
  <r>
    <x v="237"/>
    <x v="167"/>
    <x v="0"/>
    <x v="0"/>
    <x v="4"/>
    <n v="300"/>
    <x v="4"/>
  </r>
  <r>
    <x v="238"/>
    <x v="168"/>
    <x v="6"/>
    <x v="2"/>
    <x v="4"/>
    <n v="50"/>
    <x v="9"/>
  </r>
  <r>
    <x v="239"/>
    <x v="169"/>
    <x v="0"/>
    <x v="0"/>
    <x v="2"/>
    <n v="300"/>
    <x v="22"/>
  </r>
  <r>
    <x v="240"/>
    <x v="160"/>
    <x v="3"/>
    <x v="1"/>
    <x v="1"/>
    <n v="200"/>
    <x v="25"/>
  </r>
  <r>
    <x v="241"/>
    <x v="152"/>
    <x v="4"/>
    <x v="0"/>
    <x v="0"/>
    <n v="800"/>
    <x v="6"/>
  </r>
  <r>
    <x v="242"/>
    <x v="170"/>
    <x v="5"/>
    <x v="2"/>
    <x v="0"/>
    <n v="30"/>
    <x v="15"/>
  </r>
  <r>
    <x v="243"/>
    <x v="121"/>
    <x v="4"/>
    <x v="0"/>
    <x v="2"/>
    <n v="800"/>
    <x v="29"/>
  </r>
  <r>
    <x v="244"/>
    <x v="171"/>
    <x v="5"/>
    <x v="2"/>
    <x v="3"/>
    <n v="30"/>
    <x v="24"/>
  </r>
  <r>
    <x v="245"/>
    <x v="34"/>
    <x v="3"/>
    <x v="1"/>
    <x v="2"/>
    <n v="200"/>
    <x v="3"/>
  </r>
  <r>
    <x v="246"/>
    <x v="172"/>
    <x v="3"/>
    <x v="1"/>
    <x v="3"/>
    <n v="200"/>
    <x v="4"/>
  </r>
  <r>
    <x v="247"/>
    <x v="173"/>
    <x v="1"/>
    <x v="1"/>
    <x v="0"/>
    <n v="120"/>
    <x v="4"/>
  </r>
  <r>
    <x v="248"/>
    <x v="91"/>
    <x v="5"/>
    <x v="2"/>
    <x v="1"/>
    <n v="30"/>
    <x v="13"/>
  </r>
  <r>
    <x v="249"/>
    <x v="174"/>
    <x v="4"/>
    <x v="0"/>
    <x v="2"/>
    <n v="800"/>
    <x v="29"/>
  </r>
  <r>
    <x v="250"/>
    <x v="100"/>
    <x v="3"/>
    <x v="1"/>
    <x v="2"/>
    <n v="200"/>
    <x v="3"/>
  </r>
  <r>
    <x v="251"/>
    <x v="175"/>
    <x v="2"/>
    <x v="0"/>
    <x v="2"/>
    <n v="500"/>
    <x v="2"/>
  </r>
  <r>
    <x v="252"/>
    <x v="77"/>
    <x v="3"/>
    <x v="1"/>
    <x v="2"/>
    <n v="200"/>
    <x v="3"/>
  </r>
  <r>
    <x v="253"/>
    <x v="176"/>
    <x v="2"/>
    <x v="0"/>
    <x v="2"/>
    <n v="500"/>
    <x v="2"/>
  </r>
  <r>
    <x v="254"/>
    <x v="119"/>
    <x v="7"/>
    <x v="2"/>
    <x v="1"/>
    <n v="20"/>
    <x v="23"/>
  </r>
  <r>
    <x v="255"/>
    <x v="177"/>
    <x v="7"/>
    <x v="2"/>
    <x v="1"/>
    <n v="20"/>
    <x v="23"/>
  </r>
  <r>
    <x v="256"/>
    <x v="108"/>
    <x v="6"/>
    <x v="2"/>
    <x v="4"/>
    <n v="50"/>
    <x v="9"/>
  </r>
  <r>
    <x v="257"/>
    <x v="178"/>
    <x v="1"/>
    <x v="1"/>
    <x v="2"/>
    <n v="120"/>
    <x v="7"/>
  </r>
  <r>
    <x v="258"/>
    <x v="179"/>
    <x v="6"/>
    <x v="2"/>
    <x v="1"/>
    <n v="50"/>
    <x v="19"/>
  </r>
  <r>
    <x v="259"/>
    <x v="23"/>
    <x v="2"/>
    <x v="0"/>
    <x v="2"/>
    <n v="500"/>
    <x v="2"/>
  </r>
  <r>
    <x v="260"/>
    <x v="180"/>
    <x v="6"/>
    <x v="2"/>
    <x v="2"/>
    <n v="50"/>
    <x v="25"/>
  </r>
  <r>
    <x v="261"/>
    <x v="74"/>
    <x v="3"/>
    <x v="1"/>
    <x v="0"/>
    <n v="200"/>
    <x v="16"/>
  </r>
  <r>
    <x v="262"/>
    <x v="25"/>
    <x v="3"/>
    <x v="1"/>
    <x v="4"/>
    <n v="200"/>
    <x v="17"/>
  </r>
  <r>
    <x v="263"/>
    <x v="31"/>
    <x v="5"/>
    <x v="2"/>
    <x v="3"/>
    <n v="30"/>
    <x v="24"/>
  </r>
  <r>
    <x v="264"/>
    <x v="181"/>
    <x v="5"/>
    <x v="2"/>
    <x v="2"/>
    <n v="30"/>
    <x v="1"/>
  </r>
  <r>
    <x v="265"/>
    <x v="71"/>
    <x v="6"/>
    <x v="2"/>
    <x v="1"/>
    <n v="50"/>
    <x v="19"/>
  </r>
  <r>
    <x v="266"/>
    <x v="182"/>
    <x v="1"/>
    <x v="1"/>
    <x v="4"/>
    <n v="120"/>
    <x v="12"/>
  </r>
  <r>
    <x v="267"/>
    <x v="85"/>
    <x v="5"/>
    <x v="2"/>
    <x v="0"/>
    <n v="30"/>
    <x v="15"/>
  </r>
  <r>
    <x v="268"/>
    <x v="183"/>
    <x v="5"/>
    <x v="2"/>
    <x v="2"/>
    <n v="30"/>
    <x v="1"/>
  </r>
  <r>
    <x v="269"/>
    <x v="173"/>
    <x v="4"/>
    <x v="0"/>
    <x v="1"/>
    <n v="800"/>
    <x v="3"/>
  </r>
  <r>
    <x v="270"/>
    <x v="184"/>
    <x v="6"/>
    <x v="2"/>
    <x v="1"/>
    <n v="50"/>
    <x v="19"/>
  </r>
  <r>
    <x v="271"/>
    <x v="4"/>
    <x v="0"/>
    <x v="0"/>
    <x v="3"/>
    <n v="300"/>
    <x v="28"/>
  </r>
  <r>
    <x v="272"/>
    <x v="185"/>
    <x v="2"/>
    <x v="0"/>
    <x v="4"/>
    <n v="500"/>
    <x v="16"/>
  </r>
  <r>
    <x v="273"/>
    <x v="186"/>
    <x v="2"/>
    <x v="0"/>
    <x v="0"/>
    <n v="500"/>
    <x v="14"/>
  </r>
  <r>
    <x v="274"/>
    <x v="187"/>
    <x v="3"/>
    <x v="1"/>
    <x v="2"/>
    <n v="200"/>
    <x v="3"/>
  </r>
  <r>
    <x v="275"/>
    <x v="188"/>
    <x v="0"/>
    <x v="0"/>
    <x v="0"/>
    <n v="300"/>
    <x v="0"/>
  </r>
  <r>
    <x v="276"/>
    <x v="189"/>
    <x v="0"/>
    <x v="0"/>
    <x v="4"/>
    <n v="300"/>
    <x v="4"/>
  </r>
  <r>
    <x v="277"/>
    <x v="190"/>
    <x v="0"/>
    <x v="0"/>
    <x v="3"/>
    <n v="300"/>
    <x v="28"/>
  </r>
  <r>
    <x v="278"/>
    <x v="191"/>
    <x v="4"/>
    <x v="0"/>
    <x v="3"/>
    <n v="800"/>
    <x v="20"/>
  </r>
  <r>
    <x v="279"/>
    <x v="144"/>
    <x v="0"/>
    <x v="0"/>
    <x v="4"/>
    <n v="300"/>
    <x v="4"/>
  </r>
  <r>
    <x v="280"/>
    <x v="192"/>
    <x v="3"/>
    <x v="1"/>
    <x v="1"/>
    <n v="200"/>
    <x v="25"/>
  </r>
  <r>
    <x v="281"/>
    <x v="193"/>
    <x v="4"/>
    <x v="0"/>
    <x v="2"/>
    <n v="800"/>
    <x v="29"/>
  </r>
  <r>
    <x v="282"/>
    <x v="194"/>
    <x v="2"/>
    <x v="0"/>
    <x v="4"/>
    <n v="500"/>
    <x v="16"/>
  </r>
  <r>
    <x v="283"/>
    <x v="195"/>
    <x v="6"/>
    <x v="2"/>
    <x v="3"/>
    <n v="50"/>
    <x v="15"/>
  </r>
  <r>
    <x v="284"/>
    <x v="102"/>
    <x v="5"/>
    <x v="2"/>
    <x v="2"/>
    <n v="30"/>
    <x v="1"/>
  </r>
  <r>
    <x v="285"/>
    <x v="172"/>
    <x v="6"/>
    <x v="2"/>
    <x v="1"/>
    <n v="50"/>
    <x v="19"/>
  </r>
  <r>
    <x v="286"/>
    <x v="196"/>
    <x v="6"/>
    <x v="2"/>
    <x v="1"/>
    <n v="50"/>
    <x v="19"/>
  </r>
  <r>
    <x v="287"/>
    <x v="122"/>
    <x v="7"/>
    <x v="2"/>
    <x v="4"/>
    <n v="20"/>
    <x v="10"/>
  </r>
  <r>
    <x v="288"/>
    <x v="197"/>
    <x v="3"/>
    <x v="1"/>
    <x v="0"/>
    <n v="200"/>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A6FBC6-2CAD-4FDA-B1EE-FB0823DC661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8:B42" firstHeaderRow="1" firstDataRow="1" firstDataCol="1"/>
  <pivotFields count="9">
    <pivotField showAll="0"/>
    <pivotField numFmtId="164" showAll="0">
      <items count="199">
        <item x="94"/>
        <item x="36"/>
        <item x="35"/>
        <item x="166"/>
        <item x="83"/>
        <item x="175"/>
        <item x="46"/>
        <item x="95"/>
        <item x="66"/>
        <item x="5"/>
        <item x="99"/>
        <item x="84"/>
        <item x="113"/>
        <item x="26"/>
        <item x="108"/>
        <item x="123"/>
        <item x="197"/>
        <item x="12"/>
        <item x="158"/>
        <item x="127"/>
        <item x="111"/>
        <item x="58"/>
        <item x="32"/>
        <item x="13"/>
        <item x="55"/>
        <item x="37"/>
        <item x="125"/>
        <item x="182"/>
        <item x="185"/>
        <item x="48"/>
        <item x="38"/>
        <item x="115"/>
        <item x="98"/>
        <item x="156"/>
        <item x="164"/>
        <item x="160"/>
        <item x="6"/>
        <item x="171"/>
        <item x="172"/>
        <item x="103"/>
        <item x="186"/>
        <item x="74"/>
        <item x="152"/>
        <item x="62"/>
        <item x="151"/>
        <item x="31"/>
        <item x="9"/>
        <item x="60"/>
        <item x="104"/>
        <item x="170"/>
        <item x="45"/>
        <item x="14"/>
        <item x="100"/>
        <item x="116"/>
        <item x="54"/>
        <item x="195"/>
        <item x="25"/>
        <item x="124"/>
        <item x="39"/>
        <item x="163"/>
        <item x="173"/>
        <item x="174"/>
        <item x="75"/>
        <item x="2"/>
        <item x="126"/>
        <item x="57"/>
        <item x="29"/>
        <item x="65"/>
        <item x="106"/>
        <item x="61"/>
        <item x="131"/>
        <item x="87"/>
        <item x="184"/>
        <item x="42"/>
        <item x="16"/>
        <item x="24"/>
        <item x="52"/>
        <item x="155"/>
        <item x="114"/>
        <item x="191"/>
        <item x="144"/>
        <item x="59"/>
        <item x="1"/>
        <item x="165"/>
        <item x="43"/>
        <item x="20"/>
        <item x="21"/>
        <item x="146"/>
        <item x="142"/>
        <item x="51"/>
        <item x="147"/>
        <item x="179"/>
        <item x="15"/>
        <item x="128"/>
        <item x="76"/>
        <item x="97"/>
        <item x="194"/>
        <item x="189"/>
        <item x="183"/>
        <item x="102"/>
        <item x="190"/>
        <item x="196"/>
        <item x="162"/>
        <item x="92"/>
        <item x="91"/>
        <item x="40"/>
        <item x="134"/>
        <item x="30"/>
        <item x="41"/>
        <item x="118"/>
        <item x="33"/>
        <item x="88"/>
        <item x="79"/>
        <item x="129"/>
        <item x="89"/>
        <item x="110"/>
        <item x="68"/>
        <item x="133"/>
        <item x="109"/>
        <item x="50"/>
        <item x="169"/>
        <item x="137"/>
        <item x="107"/>
        <item x="93"/>
        <item x="176"/>
        <item x="150"/>
        <item x="140"/>
        <item x="130"/>
        <item x="177"/>
        <item x="120"/>
        <item x="121"/>
        <item x="139"/>
        <item x="73"/>
        <item x="10"/>
        <item x="70"/>
        <item x="167"/>
        <item x="180"/>
        <item x="85"/>
        <item x="122"/>
        <item x="56"/>
        <item x="27"/>
        <item x="159"/>
        <item x="69"/>
        <item x="77"/>
        <item x="132"/>
        <item x="187"/>
        <item x="154"/>
        <item x="49"/>
        <item x="157"/>
        <item x="7"/>
        <item x="0"/>
        <item x="8"/>
        <item x="193"/>
        <item x="112"/>
        <item x="138"/>
        <item x="90"/>
        <item x="148"/>
        <item x="63"/>
        <item x="149"/>
        <item x="34"/>
        <item x="168"/>
        <item x="3"/>
        <item x="105"/>
        <item x="188"/>
        <item x="192"/>
        <item x="135"/>
        <item x="67"/>
        <item x="86"/>
        <item x="23"/>
        <item x="44"/>
        <item x="145"/>
        <item x="178"/>
        <item x="141"/>
        <item x="18"/>
        <item x="22"/>
        <item x="101"/>
        <item x="47"/>
        <item x="136"/>
        <item x="82"/>
        <item x="64"/>
        <item x="71"/>
        <item x="80"/>
        <item x="117"/>
        <item x="53"/>
        <item x="4"/>
        <item x="28"/>
        <item x="78"/>
        <item x="153"/>
        <item x="11"/>
        <item x="161"/>
        <item x="96"/>
        <item x="181"/>
        <item x="143"/>
        <item x="72"/>
        <item x="17"/>
        <item x="81"/>
        <item x="119"/>
        <item x="19"/>
        <item t="default"/>
      </items>
    </pivotField>
    <pivotField showAll="0"/>
    <pivotField axis="axisRow" showAll="0">
      <items count="4">
        <item x="2"/>
        <item x="0"/>
        <item x="1"/>
        <item t="default"/>
      </items>
    </pivotField>
    <pivotField dataField="1" showAll="0"/>
    <pivotField numFmtId="44" showAll="0"/>
    <pivotField numFmtId="4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i>
    <i>
      <x v="1"/>
    </i>
    <i>
      <x v="2"/>
    </i>
    <i t="grand">
      <x/>
    </i>
  </rowItems>
  <colItems count="1">
    <i/>
  </colItems>
  <dataFields count="1">
    <dataField name="Sum of quantity" fld="4" baseField="0" baseItem="0"/>
  </dataFields>
  <chartFormats count="6">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2EA789-C31E-4AE0-A984-3BBDE604A11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B35" firstHeaderRow="1" firstDataRow="1" firstDataCol="1"/>
  <pivotFields count="9">
    <pivotField showAll="0"/>
    <pivotField numFmtId="164" showAll="0">
      <items count="199">
        <item x="94"/>
        <item x="36"/>
        <item x="35"/>
        <item x="166"/>
        <item x="83"/>
        <item x="175"/>
        <item x="46"/>
        <item x="95"/>
        <item x="66"/>
        <item x="5"/>
        <item x="99"/>
        <item x="84"/>
        <item x="113"/>
        <item x="26"/>
        <item x="108"/>
        <item x="123"/>
        <item x="197"/>
        <item x="12"/>
        <item x="158"/>
        <item x="127"/>
        <item x="111"/>
        <item x="58"/>
        <item x="32"/>
        <item x="13"/>
        <item x="55"/>
        <item x="37"/>
        <item x="125"/>
        <item x="182"/>
        <item x="185"/>
        <item x="48"/>
        <item x="38"/>
        <item x="115"/>
        <item x="98"/>
        <item x="156"/>
        <item x="164"/>
        <item x="160"/>
        <item x="6"/>
        <item x="171"/>
        <item x="172"/>
        <item x="103"/>
        <item x="186"/>
        <item x="74"/>
        <item x="152"/>
        <item x="62"/>
        <item x="151"/>
        <item x="31"/>
        <item x="9"/>
        <item x="60"/>
        <item x="104"/>
        <item x="170"/>
        <item x="45"/>
        <item x="14"/>
        <item x="100"/>
        <item x="116"/>
        <item x="54"/>
        <item x="195"/>
        <item x="25"/>
        <item x="124"/>
        <item x="39"/>
        <item x="163"/>
        <item x="173"/>
        <item x="174"/>
        <item x="75"/>
        <item x="2"/>
        <item x="126"/>
        <item x="57"/>
        <item x="29"/>
        <item x="65"/>
        <item x="106"/>
        <item x="61"/>
        <item x="131"/>
        <item x="87"/>
        <item x="184"/>
        <item x="42"/>
        <item x="16"/>
        <item x="24"/>
        <item x="52"/>
        <item x="155"/>
        <item x="114"/>
        <item x="191"/>
        <item x="144"/>
        <item x="59"/>
        <item x="1"/>
        <item x="165"/>
        <item x="43"/>
        <item x="20"/>
        <item x="21"/>
        <item x="146"/>
        <item x="142"/>
        <item x="51"/>
        <item x="147"/>
        <item x="179"/>
        <item x="15"/>
        <item x="128"/>
        <item x="76"/>
        <item x="97"/>
        <item x="194"/>
        <item x="189"/>
        <item x="183"/>
        <item x="102"/>
        <item x="190"/>
        <item x="196"/>
        <item x="162"/>
        <item x="92"/>
        <item x="91"/>
        <item x="40"/>
        <item x="134"/>
        <item x="30"/>
        <item x="41"/>
        <item x="118"/>
        <item x="33"/>
        <item x="88"/>
        <item x="79"/>
        <item x="129"/>
        <item x="89"/>
        <item x="110"/>
        <item x="68"/>
        <item x="133"/>
        <item x="109"/>
        <item x="50"/>
        <item x="169"/>
        <item x="137"/>
        <item x="107"/>
        <item x="93"/>
        <item x="176"/>
        <item x="150"/>
        <item x="140"/>
        <item x="130"/>
        <item x="177"/>
        <item x="120"/>
        <item x="121"/>
        <item x="139"/>
        <item x="73"/>
        <item x="10"/>
        <item x="70"/>
        <item x="167"/>
        <item x="180"/>
        <item x="85"/>
        <item x="122"/>
        <item x="56"/>
        <item x="27"/>
        <item x="159"/>
        <item x="69"/>
        <item x="77"/>
        <item x="132"/>
        <item x="187"/>
        <item x="154"/>
        <item x="49"/>
        <item x="157"/>
        <item x="7"/>
        <item x="0"/>
        <item x="8"/>
        <item x="193"/>
        <item x="112"/>
        <item x="138"/>
        <item x="90"/>
        <item x="148"/>
        <item x="63"/>
        <item x="149"/>
        <item x="34"/>
        <item x="168"/>
        <item x="3"/>
        <item x="105"/>
        <item x="188"/>
        <item x="192"/>
        <item x="135"/>
        <item x="67"/>
        <item x="86"/>
        <item x="23"/>
        <item x="44"/>
        <item x="145"/>
        <item x="178"/>
        <item x="141"/>
        <item x="18"/>
        <item x="22"/>
        <item x="101"/>
        <item x="47"/>
        <item x="136"/>
        <item x="82"/>
        <item x="64"/>
        <item x="71"/>
        <item x="80"/>
        <item x="117"/>
        <item x="53"/>
        <item x="4"/>
        <item x="28"/>
        <item x="78"/>
        <item x="153"/>
        <item x="11"/>
        <item x="161"/>
        <item x="96"/>
        <item x="181"/>
        <item x="143"/>
        <item x="72"/>
        <item x="17"/>
        <item x="81"/>
        <item x="119"/>
        <item x="19"/>
        <item t="default"/>
      </items>
    </pivotField>
    <pivotField axis="axisRow" showAll="0" sortType="ascending">
      <items count="9">
        <item x="1"/>
        <item x="3"/>
        <item x="6"/>
        <item x="5"/>
        <item x="4"/>
        <item x="7"/>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numFmtId="44" showAll="0"/>
    <pivotField dataField="1" numFmtId="4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v="5"/>
    </i>
    <i>
      <x v="3"/>
    </i>
    <i>
      <x v="2"/>
    </i>
    <i>
      <x/>
    </i>
    <i>
      <x v="7"/>
    </i>
    <i>
      <x v="1"/>
    </i>
    <i>
      <x v="6"/>
    </i>
    <i>
      <x v="4"/>
    </i>
    <i t="grand">
      <x/>
    </i>
  </rowItems>
  <colItems count="1">
    <i/>
  </colItems>
  <dataFields count="1">
    <dataField name="Sum of sales_total" fld="6" baseField="0" baseItem="0" numFmtId="44"/>
  </dataFields>
  <formats count="1">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6C3FB1-0577-4F3A-AA7C-F5A667D494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B23" firstHeaderRow="1" firstDataRow="1" firstDataCol="1"/>
  <pivotFields count="9">
    <pivotField showAll="0"/>
    <pivotField numFmtId="164" showAll="0">
      <items count="199">
        <item x="94"/>
        <item x="36"/>
        <item x="35"/>
        <item x="166"/>
        <item x="83"/>
        <item x="175"/>
        <item x="46"/>
        <item x="95"/>
        <item x="66"/>
        <item x="5"/>
        <item x="99"/>
        <item x="84"/>
        <item x="113"/>
        <item x="26"/>
        <item x="108"/>
        <item x="123"/>
        <item x="197"/>
        <item x="12"/>
        <item x="158"/>
        <item x="127"/>
        <item x="111"/>
        <item x="58"/>
        <item x="32"/>
        <item x="13"/>
        <item x="55"/>
        <item x="37"/>
        <item x="125"/>
        <item x="182"/>
        <item x="185"/>
        <item x="48"/>
        <item x="38"/>
        <item x="115"/>
        <item x="98"/>
        <item x="156"/>
        <item x="164"/>
        <item x="160"/>
        <item x="6"/>
        <item x="171"/>
        <item x="172"/>
        <item x="103"/>
        <item x="186"/>
        <item x="74"/>
        <item x="152"/>
        <item x="62"/>
        <item x="151"/>
        <item x="31"/>
        <item x="9"/>
        <item x="60"/>
        <item x="104"/>
        <item x="170"/>
        <item x="45"/>
        <item x="14"/>
        <item x="100"/>
        <item x="116"/>
        <item x="54"/>
        <item x="195"/>
        <item x="25"/>
        <item x="124"/>
        <item x="39"/>
        <item x="163"/>
        <item x="173"/>
        <item x="174"/>
        <item x="75"/>
        <item x="2"/>
        <item x="126"/>
        <item x="57"/>
        <item x="29"/>
        <item x="65"/>
        <item x="106"/>
        <item x="61"/>
        <item x="131"/>
        <item x="87"/>
        <item x="184"/>
        <item x="42"/>
        <item x="16"/>
        <item x="24"/>
        <item x="52"/>
        <item x="155"/>
        <item x="114"/>
        <item x="191"/>
        <item x="144"/>
        <item x="59"/>
        <item x="1"/>
        <item x="165"/>
        <item x="43"/>
        <item x="20"/>
        <item x="21"/>
        <item x="146"/>
        <item x="142"/>
        <item x="51"/>
        <item x="147"/>
        <item x="179"/>
        <item x="15"/>
        <item x="128"/>
        <item x="76"/>
        <item x="97"/>
        <item x="194"/>
        <item x="189"/>
        <item x="183"/>
        <item x="102"/>
        <item x="190"/>
        <item x="196"/>
        <item x="162"/>
        <item x="92"/>
        <item x="91"/>
        <item x="40"/>
        <item x="134"/>
        <item x="30"/>
        <item x="41"/>
        <item x="118"/>
        <item x="33"/>
        <item x="88"/>
        <item x="79"/>
        <item x="129"/>
        <item x="89"/>
        <item x="110"/>
        <item x="68"/>
        <item x="133"/>
        <item x="109"/>
        <item x="50"/>
        <item x="169"/>
        <item x="137"/>
        <item x="107"/>
        <item x="93"/>
        <item x="176"/>
        <item x="150"/>
        <item x="140"/>
        <item x="130"/>
        <item x="177"/>
        <item x="120"/>
        <item x="121"/>
        <item x="139"/>
        <item x="73"/>
        <item x="10"/>
        <item x="70"/>
        <item x="167"/>
        <item x="180"/>
        <item x="85"/>
        <item x="122"/>
        <item x="56"/>
        <item x="27"/>
        <item x="159"/>
        <item x="69"/>
        <item x="77"/>
        <item x="132"/>
        <item x="187"/>
        <item x="154"/>
        <item x="49"/>
        <item x="157"/>
        <item x="7"/>
        <item x="0"/>
        <item x="8"/>
        <item x="193"/>
        <item x="112"/>
        <item x="138"/>
        <item x="90"/>
        <item x="148"/>
        <item x="63"/>
        <item x="149"/>
        <item x="34"/>
        <item x="168"/>
        <item x="3"/>
        <item x="105"/>
        <item x="188"/>
        <item x="192"/>
        <item x="135"/>
        <item x="67"/>
        <item x="86"/>
        <item x="23"/>
        <item x="44"/>
        <item x="145"/>
        <item x="178"/>
        <item x="141"/>
        <item x="18"/>
        <item x="22"/>
        <item x="101"/>
        <item x="47"/>
        <item x="136"/>
        <item x="82"/>
        <item x="64"/>
        <item x="71"/>
        <item x="80"/>
        <item x="117"/>
        <item x="53"/>
        <item x="4"/>
        <item x="28"/>
        <item x="78"/>
        <item x="153"/>
        <item x="11"/>
        <item x="161"/>
        <item x="96"/>
        <item x="181"/>
        <item x="143"/>
        <item x="72"/>
        <item x="17"/>
        <item x="81"/>
        <item x="119"/>
        <item x="19"/>
        <item t="default"/>
      </items>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44" showAll="0"/>
    <pivotField dataField="1" numFmtId="4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v="1"/>
    </i>
    <i>
      <x v="2"/>
    </i>
    <i>
      <x/>
    </i>
    <i t="grand">
      <x/>
    </i>
  </rowItems>
  <colItems count="1">
    <i/>
  </colItems>
  <dataFields count="1">
    <dataField name="Sum of sales_total" fld="6" baseField="0" baseItem="0" numFmtId="44"/>
  </dataFields>
  <formats count="1">
    <format dxfId="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0974A7-4FD2-4303-8686-462FCF79469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9">
    <pivotField showAll="0"/>
    <pivotField numFmtId="164" showAll="0">
      <items count="199">
        <item x="94"/>
        <item x="36"/>
        <item x="35"/>
        <item x="166"/>
        <item x="83"/>
        <item x="175"/>
        <item x="46"/>
        <item x="95"/>
        <item x="66"/>
        <item x="5"/>
        <item x="99"/>
        <item x="84"/>
        <item x="113"/>
        <item x="26"/>
        <item x="108"/>
        <item x="123"/>
        <item x="197"/>
        <item x="12"/>
        <item x="158"/>
        <item x="127"/>
        <item x="111"/>
        <item x="58"/>
        <item x="32"/>
        <item x="13"/>
        <item x="55"/>
        <item x="37"/>
        <item x="125"/>
        <item x="182"/>
        <item x="185"/>
        <item x="48"/>
        <item x="38"/>
        <item x="115"/>
        <item x="98"/>
        <item x="156"/>
        <item x="164"/>
        <item x="160"/>
        <item x="6"/>
        <item x="171"/>
        <item x="172"/>
        <item x="103"/>
        <item x="186"/>
        <item x="74"/>
        <item x="152"/>
        <item x="62"/>
        <item x="151"/>
        <item x="31"/>
        <item x="9"/>
        <item x="60"/>
        <item x="104"/>
        <item x="170"/>
        <item x="45"/>
        <item x="14"/>
        <item x="100"/>
        <item x="116"/>
        <item x="54"/>
        <item x="195"/>
        <item x="25"/>
        <item x="124"/>
        <item x="39"/>
        <item x="163"/>
        <item x="173"/>
        <item x="174"/>
        <item x="75"/>
        <item x="2"/>
        <item x="126"/>
        <item x="57"/>
        <item x="29"/>
        <item x="65"/>
        <item x="106"/>
        <item x="61"/>
        <item x="131"/>
        <item x="87"/>
        <item x="184"/>
        <item x="42"/>
        <item x="16"/>
        <item x="24"/>
        <item x="52"/>
        <item x="155"/>
        <item x="114"/>
        <item x="191"/>
        <item x="144"/>
        <item x="59"/>
        <item x="1"/>
        <item x="165"/>
        <item x="43"/>
        <item x="20"/>
        <item x="21"/>
        <item x="146"/>
        <item x="142"/>
        <item x="51"/>
        <item x="147"/>
        <item x="179"/>
        <item x="15"/>
        <item x="128"/>
        <item x="76"/>
        <item x="97"/>
        <item x="194"/>
        <item x="189"/>
        <item x="183"/>
        <item x="102"/>
        <item x="190"/>
        <item x="196"/>
        <item x="162"/>
        <item x="92"/>
        <item x="91"/>
        <item x="40"/>
        <item x="134"/>
        <item x="30"/>
        <item x="41"/>
        <item x="118"/>
        <item x="33"/>
        <item x="88"/>
        <item x="79"/>
        <item x="129"/>
        <item x="89"/>
        <item x="110"/>
        <item x="68"/>
        <item x="133"/>
        <item x="109"/>
        <item x="50"/>
        <item x="169"/>
        <item x="137"/>
        <item x="107"/>
        <item x="93"/>
        <item x="176"/>
        <item x="150"/>
        <item x="140"/>
        <item x="130"/>
        <item x="177"/>
        <item x="120"/>
        <item x="121"/>
        <item x="139"/>
        <item x="73"/>
        <item x="10"/>
        <item x="70"/>
        <item x="167"/>
        <item x="180"/>
        <item x="85"/>
        <item x="122"/>
        <item x="56"/>
        <item x="27"/>
        <item x="159"/>
        <item x="69"/>
        <item x="77"/>
        <item x="132"/>
        <item x="187"/>
        <item x="154"/>
        <item x="49"/>
        <item x="157"/>
        <item x="7"/>
        <item x="0"/>
        <item x="8"/>
        <item x="193"/>
        <item x="112"/>
        <item x="138"/>
        <item x="90"/>
        <item x="148"/>
        <item x="63"/>
        <item x="149"/>
        <item x="34"/>
        <item x="168"/>
        <item x="3"/>
        <item x="105"/>
        <item x="188"/>
        <item x="192"/>
        <item x="135"/>
        <item x="67"/>
        <item x="86"/>
        <item x="23"/>
        <item x="44"/>
        <item x="145"/>
        <item x="178"/>
        <item x="141"/>
        <item x="18"/>
        <item x="22"/>
        <item x="101"/>
        <item x="47"/>
        <item x="136"/>
        <item x="82"/>
        <item x="64"/>
        <item x="71"/>
        <item x="80"/>
        <item x="117"/>
        <item x="53"/>
        <item x="4"/>
        <item x="28"/>
        <item x="78"/>
        <item x="153"/>
        <item x="11"/>
        <item x="161"/>
        <item x="96"/>
        <item x="181"/>
        <item x="143"/>
        <item x="72"/>
        <item x="17"/>
        <item x="81"/>
        <item x="119"/>
        <item x="19"/>
        <item t="default"/>
      </items>
    </pivotField>
    <pivotField showAll="0"/>
    <pivotField showAll="0">
      <items count="4">
        <item x="2"/>
        <item x="0"/>
        <item x="1"/>
        <item t="default"/>
      </items>
    </pivotField>
    <pivotField showAll="0"/>
    <pivotField numFmtId="44" showAll="0"/>
    <pivotField dataField="1" numFmtId="4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sales_total" fld="6" baseField="0" baseItem="0" numFmtId="44"/>
  </dataFields>
  <formats count="1">
    <format dxfId="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CC3962-7884-41A5-984B-94BBFAB03A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7:O8" firstHeaderRow="0" firstDataRow="1" firstDataCol="0"/>
  <pivotFields count="9">
    <pivotField dataField="1" showAll="0"/>
    <pivotField numFmtId="164" showAll="0">
      <items count="199">
        <item x="94"/>
        <item x="36"/>
        <item x="35"/>
        <item x="166"/>
        <item x="83"/>
        <item x="175"/>
        <item x="46"/>
        <item x="95"/>
        <item x="66"/>
        <item x="5"/>
        <item x="99"/>
        <item x="84"/>
        <item x="113"/>
        <item x="26"/>
        <item x="108"/>
        <item x="123"/>
        <item x="197"/>
        <item x="12"/>
        <item x="158"/>
        <item x="127"/>
        <item x="111"/>
        <item x="58"/>
        <item x="32"/>
        <item x="13"/>
        <item x="55"/>
        <item x="37"/>
        <item x="125"/>
        <item x="182"/>
        <item x="185"/>
        <item x="48"/>
        <item x="38"/>
        <item x="115"/>
        <item x="98"/>
        <item x="156"/>
        <item x="164"/>
        <item x="160"/>
        <item x="6"/>
        <item x="171"/>
        <item x="172"/>
        <item x="103"/>
        <item x="186"/>
        <item x="74"/>
        <item x="152"/>
        <item x="62"/>
        <item x="151"/>
        <item x="31"/>
        <item x="9"/>
        <item x="60"/>
        <item x="104"/>
        <item x="170"/>
        <item x="45"/>
        <item x="14"/>
        <item x="100"/>
        <item x="116"/>
        <item x="54"/>
        <item x="195"/>
        <item x="25"/>
        <item x="124"/>
        <item x="39"/>
        <item x="163"/>
        <item x="173"/>
        <item x="174"/>
        <item x="75"/>
        <item x="2"/>
        <item x="126"/>
        <item x="57"/>
        <item x="29"/>
        <item x="65"/>
        <item x="106"/>
        <item x="61"/>
        <item x="131"/>
        <item x="87"/>
        <item x="184"/>
        <item x="42"/>
        <item x="16"/>
        <item x="24"/>
        <item x="52"/>
        <item x="155"/>
        <item x="114"/>
        <item x="191"/>
        <item x="144"/>
        <item x="59"/>
        <item x="1"/>
        <item x="165"/>
        <item x="43"/>
        <item x="20"/>
        <item x="21"/>
        <item x="146"/>
        <item x="142"/>
        <item x="51"/>
        <item x="147"/>
        <item x="179"/>
        <item x="15"/>
        <item x="128"/>
        <item x="76"/>
        <item x="97"/>
        <item x="194"/>
        <item x="189"/>
        <item x="183"/>
        <item x="102"/>
        <item x="190"/>
        <item x="196"/>
        <item x="162"/>
        <item x="92"/>
        <item x="91"/>
        <item x="40"/>
        <item x="134"/>
        <item x="30"/>
        <item x="41"/>
        <item x="118"/>
        <item x="33"/>
        <item x="88"/>
        <item x="79"/>
        <item x="129"/>
        <item x="89"/>
        <item x="110"/>
        <item x="68"/>
        <item x="133"/>
        <item x="109"/>
        <item x="50"/>
        <item x="169"/>
        <item x="137"/>
        <item x="107"/>
        <item x="93"/>
        <item x="176"/>
        <item x="150"/>
        <item x="140"/>
        <item x="130"/>
        <item x="177"/>
        <item x="120"/>
        <item x="121"/>
        <item x="139"/>
        <item x="73"/>
        <item x="10"/>
        <item x="70"/>
        <item x="167"/>
        <item x="180"/>
        <item x="85"/>
        <item x="122"/>
        <item x="56"/>
        <item x="27"/>
        <item x="159"/>
        <item x="69"/>
        <item x="77"/>
        <item x="132"/>
        <item x="187"/>
        <item x="154"/>
        <item x="49"/>
        <item x="157"/>
        <item x="7"/>
        <item x="0"/>
        <item x="8"/>
        <item x="193"/>
        <item x="112"/>
        <item x="138"/>
        <item x="90"/>
        <item x="148"/>
        <item x="63"/>
        <item x="149"/>
        <item x="34"/>
        <item x="168"/>
        <item x="3"/>
        <item x="105"/>
        <item x="188"/>
        <item x="192"/>
        <item x="135"/>
        <item x="67"/>
        <item x="86"/>
        <item x="23"/>
        <item x="44"/>
        <item x="145"/>
        <item x="178"/>
        <item x="141"/>
        <item x="18"/>
        <item x="22"/>
        <item x="101"/>
        <item x="47"/>
        <item x="136"/>
        <item x="82"/>
        <item x="64"/>
        <item x="71"/>
        <item x="80"/>
        <item x="117"/>
        <item x="53"/>
        <item x="4"/>
        <item x="28"/>
        <item x="78"/>
        <item x="153"/>
        <item x="11"/>
        <item x="161"/>
        <item x="96"/>
        <item x="181"/>
        <item x="143"/>
        <item x="72"/>
        <item x="17"/>
        <item x="81"/>
        <item x="119"/>
        <item x="19"/>
        <item t="default"/>
      </items>
    </pivotField>
    <pivotField showAll="0"/>
    <pivotField showAll="0">
      <items count="4">
        <item x="2"/>
        <item x="0"/>
        <item x="1"/>
        <item t="default"/>
      </items>
    </pivotField>
    <pivotField dataField="1" showAll="0"/>
    <pivotField numFmtId="44" showAll="0"/>
    <pivotField dataField="1" numFmtId="4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3">
    <i>
      <x/>
    </i>
    <i i="1">
      <x v="1"/>
    </i>
    <i i="2">
      <x v="2"/>
    </i>
  </colItems>
  <dataFields count="3">
    <dataField name="Sum of sales_total" fld="6" baseField="0" baseItem="0" numFmtId="44"/>
    <dataField name="Count of order_id" fld="0" subtotal="count" baseField="0" baseItem="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59B8E3-3959-4444-A715-63AD86B8854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2:B56" firstHeaderRow="1" firstDataRow="1" firstDataCol="1"/>
  <pivotFields count="9">
    <pivotField dataField="1" showAll="0"/>
    <pivotField numFmtId="164" showAll="0">
      <items count="199">
        <item x="94"/>
        <item x="36"/>
        <item x="35"/>
        <item x="166"/>
        <item x="83"/>
        <item x="175"/>
        <item x="46"/>
        <item x="95"/>
        <item x="66"/>
        <item x="5"/>
        <item x="99"/>
        <item x="84"/>
        <item x="113"/>
        <item x="26"/>
        <item x="108"/>
        <item x="123"/>
        <item x="197"/>
        <item x="12"/>
        <item x="158"/>
        <item x="127"/>
        <item x="111"/>
        <item x="58"/>
        <item x="32"/>
        <item x="13"/>
        <item x="55"/>
        <item x="37"/>
        <item x="125"/>
        <item x="182"/>
        <item x="185"/>
        <item x="48"/>
        <item x="38"/>
        <item x="115"/>
        <item x="98"/>
        <item x="156"/>
        <item x="164"/>
        <item x="160"/>
        <item x="6"/>
        <item x="171"/>
        <item x="172"/>
        <item x="103"/>
        <item x="186"/>
        <item x="74"/>
        <item x="152"/>
        <item x="62"/>
        <item x="151"/>
        <item x="31"/>
        <item x="9"/>
        <item x="60"/>
        <item x="104"/>
        <item x="170"/>
        <item x="45"/>
        <item x="14"/>
        <item x="100"/>
        <item x="116"/>
        <item x="54"/>
        <item x="195"/>
        <item x="25"/>
        <item x="124"/>
        <item x="39"/>
        <item x="163"/>
        <item x="173"/>
        <item x="174"/>
        <item x="75"/>
        <item x="2"/>
        <item x="126"/>
        <item x="57"/>
        <item x="29"/>
        <item x="65"/>
        <item x="106"/>
        <item x="61"/>
        <item x="131"/>
        <item x="87"/>
        <item x="184"/>
        <item x="42"/>
        <item x="16"/>
        <item x="24"/>
        <item x="52"/>
        <item x="155"/>
        <item x="114"/>
        <item x="191"/>
        <item x="144"/>
        <item x="59"/>
        <item x="1"/>
        <item x="165"/>
        <item x="43"/>
        <item x="20"/>
        <item x="21"/>
        <item x="146"/>
        <item x="142"/>
        <item x="51"/>
        <item x="147"/>
        <item x="179"/>
        <item x="15"/>
        <item x="128"/>
        <item x="76"/>
        <item x="97"/>
        <item x="194"/>
        <item x="189"/>
        <item x="183"/>
        <item x="102"/>
        <item x="190"/>
        <item x="196"/>
        <item x="162"/>
        <item x="92"/>
        <item x="91"/>
        <item x="40"/>
        <item x="134"/>
        <item x="30"/>
        <item x="41"/>
        <item x="118"/>
        <item x="33"/>
        <item x="88"/>
        <item x="79"/>
        <item x="129"/>
        <item x="89"/>
        <item x="110"/>
        <item x="68"/>
        <item x="133"/>
        <item x="109"/>
        <item x="50"/>
        <item x="169"/>
        <item x="137"/>
        <item x="107"/>
        <item x="93"/>
        <item x="176"/>
        <item x="150"/>
        <item x="140"/>
        <item x="130"/>
        <item x="177"/>
        <item x="120"/>
        <item x="121"/>
        <item x="139"/>
        <item x="73"/>
        <item x="10"/>
        <item x="70"/>
        <item x="167"/>
        <item x="180"/>
        <item x="85"/>
        <item x="122"/>
        <item x="56"/>
        <item x="27"/>
        <item x="159"/>
        <item x="69"/>
        <item x="77"/>
        <item x="132"/>
        <item x="187"/>
        <item x="154"/>
        <item x="49"/>
        <item x="157"/>
        <item x="7"/>
        <item x="0"/>
        <item x="8"/>
        <item x="193"/>
        <item x="112"/>
        <item x="138"/>
        <item x="90"/>
        <item x="148"/>
        <item x="63"/>
        <item x="149"/>
        <item x="34"/>
        <item x="168"/>
        <item x="3"/>
        <item x="105"/>
        <item x="188"/>
        <item x="192"/>
        <item x="135"/>
        <item x="67"/>
        <item x="86"/>
        <item x="23"/>
        <item x="44"/>
        <item x="145"/>
        <item x="178"/>
        <item x="141"/>
        <item x="18"/>
        <item x="22"/>
        <item x="101"/>
        <item x="47"/>
        <item x="136"/>
        <item x="82"/>
        <item x="64"/>
        <item x="71"/>
        <item x="80"/>
        <item x="117"/>
        <item x="53"/>
        <item x="4"/>
        <item x="28"/>
        <item x="78"/>
        <item x="153"/>
        <item x="11"/>
        <item x="161"/>
        <item x="96"/>
        <item x="181"/>
        <item x="143"/>
        <item x="72"/>
        <item x="17"/>
        <item x="81"/>
        <item x="119"/>
        <item x="19"/>
        <item t="default"/>
      </items>
    </pivotField>
    <pivotField showAll="0"/>
    <pivotField axis="axisRow" showAll="0">
      <items count="4">
        <item x="2"/>
        <item x="0"/>
        <item x="1"/>
        <item t="default"/>
      </items>
    </pivotField>
    <pivotField showAll="0"/>
    <pivotField numFmtId="44" showAll="0"/>
    <pivotField numFmtId="4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i>
    <i>
      <x v="1"/>
    </i>
    <i>
      <x v="2"/>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746667-3B03-4D0D-993F-02D36B6BA9CD}" sourceName="category">
  <pivotTables>
    <pivotTable tabId="6" name="PivotTable2"/>
    <pivotTable tabId="6" name="PivotTable3"/>
    <pivotTable tabId="6" name="PivotTable4"/>
    <pivotTable tabId="6" name="PivotTable5"/>
    <pivotTable tabId="6" name="PivotTable6"/>
    <pivotTable tabId="6" name="PivotTable1"/>
  </pivotTables>
  <data>
    <tabular pivotCacheId="135877021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371A7B1-E7F6-4B34-A4EB-09B172D4FFB1}" cache="Slicer_category" caption="Category"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EFAD7F-F15E-4B6A-AC9E-00BC464F53E1}" name="Table1" displayName="Table1" ref="A1:G291" totalsRowCount="1">
  <autoFilter ref="A1:G290" xr:uid="{27EFAD7F-F15E-4B6A-AC9E-00BC464F53E1}"/>
  <tableColumns count="7">
    <tableColumn id="1" xr3:uid="{5B762882-4D14-46C9-8C97-C7A641D54186}" name="order_id"/>
    <tableColumn id="2" xr3:uid="{0D7B59F2-76C5-4261-A364-B4C1D20D5456}" name="order_date" dataDxfId="8" totalsRowDxfId="7"/>
    <tableColumn id="3" xr3:uid="{009DB8DF-84CA-43EE-A22B-6D9528DD65D2}" name="product"/>
    <tableColumn id="4" xr3:uid="{C290578C-1394-4687-80A0-54D35269BC71}" name="category"/>
    <tableColumn id="5" xr3:uid="{1B2D33C3-7028-42D5-A5C2-BEF90681F543}" name="quantity" totalsRowFunction="sum"/>
    <tableColumn id="6" xr3:uid="{FBF6BE88-8BC7-4316-A43D-63B837E0BB31}" name="unit_price" totalsRowFunction="sum" dataDxfId="6" totalsRowDxfId="5" dataCellStyle="Currency" totalsRowCellStyle="Currency"/>
    <tableColumn id="7" xr3:uid="{D07B9570-8E56-4CE5-81A7-782FD256BDBB}" name="sales_total" totalsRowFunction="sum" dataDxfId="4" totalsRowDxfId="3" dataCellStyle="Currency" totalsRowCellStyle="Currenc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1"/>
  <sheetViews>
    <sheetView workbookViewId="0">
      <selection activeCell="C82" sqref="C82"/>
    </sheetView>
  </sheetViews>
  <sheetFormatPr defaultRowHeight="15" x14ac:dyDescent="0.25"/>
  <sheetData>
    <row r="1" spans="1:7" x14ac:dyDescent="0.25">
      <c r="A1" t="s">
        <v>0</v>
      </c>
      <c r="B1" t="s">
        <v>1</v>
      </c>
      <c r="C1" t="s">
        <v>2</v>
      </c>
      <c r="D1" t="s">
        <v>3</v>
      </c>
      <c r="E1" t="s">
        <v>4</v>
      </c>
      <c r="F1" t="s">
        <v>5</v>
      </c>
      <c r="G1" t="s">
        <v>6</v>
      </c>
    </row>
    <row r="2" spans="1:7" x14ac:dyDescent="0.25">
      <c r="A2">
        <v>1</v>
      </c>
      <c r="B2" t="s">
        <v>7</v>
      </c>
      <c r="C2" t="s">
        <v>8</v>
      </c>
      <c r="D2" t="s">
        <v>9</v>
      </c>
      <c r="E2">
        <v>5</v>
      </c>
      <c r="F2">
        <v>300</v>
      </c>
      <c r="G2">
        <v>1500</v>
      </c>
    </row>
    <row r="3" spans="1:7" x14ac:dyDescent="0.25">
      <c r="A3">
        <v>2</v>
      </c>
      <c r="B3" t="s">
        <v>10</v>
      </c>
      <c r="C3" t="s">
        <v>228</v>
      </c>
      <c r="D3" t="s">
        <v>12</v>
      </c>
      <c r="E3">
        <v>1</v>
      </c>
      <c r="F3">
        <v>120</v>
      </c>
      <c r="G3">
        <v>120</v>
      </c>
    </row>
    <row r="4" spans="1:7" x14ac:dyDescent="0.25">
      <c r="A4">
        <v>3</v>
      </c>
      <c r="B4" t="s">
        <v>13</v>
      </c>
      <c r="C4" t="s">
        <v>14</v>
      </c>
      <c r="D4" t="s">
        <v>15</v>
      </c>
      <c r="F4">
        <v>50</v>
      </c>
      <c r="G4">
        <v>50</v>
      </c>
    </row>
    <row r="5" spans="1:7" x14ac:dyDescent="0.25">
      <c r="A5">
        <v>4</v>
      </c>
      <c r="B5" t="s">
        <v>16</v>
      </c>
      <c r="C5" t="s">
        <v>17</v>
      </c>
      <c r="D5" t="s">
        <v>9</v>
      </c>
      <c r="E5">
        <v>4</v>
      </c>
      <c r="F5">
        <v>500</v>
      </c>
      <c r="G5">
        <v>2000</v>
      </c>
    </row>
    <row r="6" spans="1:7" x14ac:dyDescent="0.25">
      <c r="A6">
        <v>5</v>
      </c>
      <c r="B6" t="s">
        <v>18</v>
      </c>
      <c r="C6" t="s">
        <v>19</v>
      </c>
      <c r="D6" t="s">
        <v>12</v>
      </c>
      <c r="E6">
        <v>4</v>
      </c>
      <c r="F6">
        <v>200</v>
      </c>
      <c r="G6">
        <v>800</v>
      </c>
    </row>
    <row r="7" spans="1:7" x14ac:dyDescent="0.25">
      <c r="A7">
        <v>6</v>
      </c>
      <c r="B7" t="s">
        <v>20</v>
      </c>
      <c r="C7" t="s">
        <v>17</v>
      </c>
      <c r="D7" t="s">
        <v>9</v>
      </c>
      <c r="E7">
        <v>3</v>
      </c>
      <c r="F7">
        <v>500</v>
      </c>
      <c r="G7">
        <v>1500</v>
      </c>
    </row>
    <row r="8" spans="1:7" x14ac:dyDescent="0.25">
      <c r="A8">
        <v>7</v>
      </c>
      <c r="B8" t="s">
        <v>21</v>
      </c>
      <c r="C8" t="s">
        <v>227</v>
      </c>
      <c r="D8" t="s">
        <v>9</v>
      </c>
      <c r="E8">
        <v>3</v>
      </c>
      <c r="F8">
        <v>500</v>
      </c>
      <c r="G8">
        <v>1500</v>
      </c>
    </row>
    <row r="9" spans="1:7" x14ac:dyDescent="0.25">
      <c r="A9">
        <v>8</v>
      </c>
      <c r="B9" t="s">
        <v>22</v>
      </c>
      <c r="C9" t="s">
        <v>19</v>
      </c>
      <c r="D9" t="s">
        <v>12</v>
      </c>
      <c r="E9">
        <v>3</v>
      </c>
      <c r="F9">
        <v>200</v>
      </c>
      <c r="G9">
        <v>600</v>
      </c>
    </row>
    <row r="10" spans="1:7" x14ac:dyDescent="0.25">
      <c r="A10">
        <v>9</v>
      </c>
      <c r="B10" t="s">
        <v>23</v>
      </c>
      <c r="C10" t="s">
        <v>19</v>
      </c>
      <c r="D10" t="s">
        <v>12</v>
      </c>
      <c r="E10">
        <v>3</v>
      </c>
      <c r="F10">
        <v>200</v>
      </c>
      <c r="G10">
        <v>600</v>
      </c>
    </row>
    <row r="11" spans="1:7" x14ac:dyDescent="0.25">
      <c r="A11">
        <v>10</v>
      </c>
      <c r="B11" t="s">
        <v>24</v>
      </c>
      <c r="C11" t="s">
        <v>8</v>
      </c>
      <c r="D11" t="s">
        <v>9</v>
      </c>
      <c r="E11">
        <v>1</v>
      </c>
      <c r="F11">
        <v>300</v>
      </c>
      <c r="G11">
        <v>300</v>
      </c>
    </row>
    <row r="12" spans="1:7" x14ac:dyDescent="0.25">
      <c r="A12">
        <v>11</v>
      </c>
      <c r="B12" t="s">
        <v>25</v>
      </c>
      <c r="C12" t="s">
        <v>11</v>
      </c>
      <c r="D12" t="s">
        <v>12</v>
      </c>
      <c r="E12">
        <v>3</v>
      </c>
      <c r="G12">
        <v>360</v>
      </c>
    </row>
    <row r="13" spans="1:7" x14ac:dyDescent="0.25">
      <c r="A13">
        <v>12</v>
      </c>
      <c r="B13" t="s">
        <v>26</v>
      </c>
      <c r="C13" t="s">
        <v>27</v>
      </c>
      <c r="D13" t="s">
        <v>9</v>
      </c>
      <c r="E13">
        <v>5</v>
      </c>
      <c r="F13">
        <v>800</v>
      </c>
      <c r="G13">
        <v>4000</v>
      </c>
    </row>
    <row r="14" spans="1:7" x14ac:dyDescent="0.25">
      <c r="A14">
        <v>13</v>
      </c>
      <c r="B14" t="s">
        <v>28</v>
      </c>
      <c r="C14" t="s">
        <v>19</v>
      </c>
      <c r="D14" t="s">
        <v>12</v>
      </c>
      <c r="E14">
        <v>4</v>
      </c>
      <c r="F14">
        <v>200</v>
      </c>
      <c r="G14">
        <v>800</v>
      </c>
    </row>
    <row r="15" spans="1:7" x14ac:dyDescent="0.25">
      <c r="A15">
        <v>14</v>
      </c>
      <c r="B15" t="s">
        <v>29</v>
      </c>
      <c r="C15" t="s">
        <v>11</v>
      </c>
      <c r="D15" t="s">
        <v>12</v>
      </c>
      <c r="E15">
        <v>4</v>
      </c>
      <c r="F15">
        <v>120</v>
      </c>
      <c r="G15">
        <v>480</v>
      </c>
    </row>
    <row r="16" spans="1:7" x14ac:dyDescent="0.25">
      <c r="A16">
        <v>15</v>
      </c>
      <c r="B16" t="s">
        <v>30</v>
      </c>
      <c r="C16" t="s">
        <v>31</v>
      </c>
      <c r="D16" t="s">
        <v>15</v>
      </c>
      <c r="E16">
        <v>2</v>
      </c>
      <c r="F16">
        <v>30</v>
      </c>
      <c r="G16">
        <v>60</v>
      </c>
    </row>
    <row r="17" spans="1:7" x14ac:dyDescent="0.25">
      <c r="A17">
        <v>16</v>
      </c>
      <c r="B17" t="s">
        <v>32</v>
      </c>
      <c r="C17" t="s">
        <v>11</v>
      </c>
      <c r="D17" t="s">
        <v>12</v>
      </c>
      <c r="E17">
        <v>1</v>
      </c>
      <c r="F17">
        <v>120</v>
      </c>
      <c r="G17">
        <v>120</v>
      </c>
    </row>
    <row r="18" spans="1:7" x14ac:dyDescent="0.25">
      <c r="A18">
        <v>17</v>
      </c>
      <c r="B18" t="s">
        <v>33</v>
      </c>
      <c r="C18" t="s">
        <v>14</v>
      </c>
      <c r="D18" t="s">
        <v>15</v>
      </c>
      <c r="E18">
        <v>2</v>
      </c>
      <c r="F18">
        <v>50</v>
      </c>
      <c r="G18">
        <v>100</v>
      </c>
    </row>
    <row r="19" spans="1:7" x14ac:dyDescent="0.25">
      <c r="A19">
        <v>18</v>
      </c>
      <c r="B19" t="s">
        <v>34</v>
      </c>
      <c r="C19" t="s">
        <v>35</v>
      </c>
      <c r="D19" t="s">
        <v>15</v>
      </c>
      <c r="E19">
        <v>2</v>
      </c>
      <c r="F19">
        <v>20</v>
      </c>
      <c r="G19">
        <v>40</v>
      </c>
    </row>
    <row r="20" spans="1:7" x14ac:dyDescent="0.25">
      <c r="A20">
        <v>19</v>
      </c>
      <c r="B20" t="s">
        <v>36</v>
      </c>
      <c r="C20" t="s">
        <v>35</v>
      </c>
      <c r="D20" t="s">
        <v>15</v>
      </c>
      <c r="E20">
        <v>3</v>
      </c>
      <c r="F20">
        <v>20</v>
      </c>
      <c r="G20">
        <v>60</v>
      </c>
    </row>
    <row r="21" spans="1:7" x14ac:dyDescent="0.25">
      <c r="A21">
        <v>20</v>
      </c>
      <c r="B21" t="s">
        <v>37</v>
      </c>
      <c r="C21" t="s">
        <v>11</v>
      </c>
      <c r="D21" t="s">
        <v>12</v>
      </c>
      <c r="E21">
        <v>3</v>
      </c>
      <c r="F21">
        <v>120</v>
      </c>
      <c r="G21">
        <v>360</v>
      </c>
    </row>
    <row r="22" spans="1:7" x14ac:dyDescent="0.25">
      <c r="A22">
        <v>21</v>
      </c>
      <c r="B22" t="s">
        <v>38</v>
      </c>
      <c r="C22" t="s">
        <v>19</v>
      </c>
      <c r="D22" t="s">
        <v>12</v>
      </c>
      <c r="E22">
        <v>4</v>
      </c>
      <c r="F22">
        <v>200</v>
      </c>
      <c r="G22">
        <v>800</v>
      </c>
    </row>
    <row r="23" spans="1:7" x14ac:dyDescent="0.25">
      <c r="A23">
        <v>22</v>
      </c>
      <c r="B23" t="s">
        <v>39</v>
      </c>
      <c r="C23" t="s">
        <v>11</v>
      </c>
      <c r="D23" t="s">
        <v>12</v>
      </c>
      <c r="E23">
        <v>4</v>
      </c>
      <c r="F23">
        <v>120</v>
      </c>
      <c r="G23">
        <v>480</v>
      </c>
    </row>
    <row r="24" spans="1:7" x14ac:dyDescent="0.25">
      <c r="A24">
        <v>23</v>
      </c>
      <c r="B24" t="s">
        <v>40</v>
      </c>
      <c r="C24" t="s">
        <v>31</v>
      </c>
      <c r="D24" t="s">
        <v>15</v>
      </c>
      <c r="E24">
        <v>4</v>
      </c>
      <c r="F24">
        <v>30</v>
      </c>
      <c r="G24">
        <v>120</v>
      </c>
    </row>
    <row r="25" spans="1:7" x14ac:dyDescent="0.25">
      <c r="A25">
        <v>24</v>
      </c>
      <c r="B25" t="s">
        <v>41</v>
      </c>
      <c r="C25" t="s">
        <v>35</v>
      </c>
      <c r="D25" t="s">
        <v>15</v>
      </c>
      <c r="E25">
        <v>2</v>
      </c>
      <c r="F25">
        <v>20</v>
      </c>
      <c r="G25">
        <v>40</v>
      </c>
    </row>
    <row r="26" spans="1:7" x14ac:dyDescent="0.25">
      <c r="A26">
        <v>25</v>
      </c>
      <c r="B26" t="s">
        <v>42</v>
      </c>
      <c r="C26" t="s">
        <v>8</v>
      </c>
      <c r="D26" t="s">
        <v>9</v>
      </c>
      <c r="E26">
        <v>5</v>
      </c>
      <c r="F26">
        <v>300</v>
      </c>
      <c r="G26">
        <v>1500</v>
      </c>
    </row>
    <row r="27" spans="1:7" x14ac:dyDescent="0.25">
      <c r="A27">
        <v>26</v>
      </c>
      <c r="B27" t="s">
        <v>43</v>
      </c>
      <c r="C27" t="s">
        <v>11</v>
      </c>
      <c r="D27" t="s">
        <v>12</v>
      </c>
      <c r="E27">
        <v>2</v>
      </c>
      <c r="F27">
        <v>120</v>
      </c>
      <c r="G27">
        <v>240</v>
      </c>
    </row>
    <row r="28" spans="1:7" x14ac:dyDescent="0.25">
      <c r="A28">
        <v>27</v>
      </c>
      <c r="B28" t="s">
        <v>44</v>
      </c>
      <c r="C28" t="s">
        <v>31</v>
      </c>
      <c r="D28" t="s">
        <v>15</v>
      </c>
      <c r="E28">
        <v>1</v>
      </c>
      <c r="F28">
        <v>30</v>
      </c>
      <c r="G28">
        <v>30</v>
      </c>
    </row>
    <row r="29" spans="1:7" x14ac:dyDescent="0.25">
      <c r="A29">
        <v>28</v>
      </c>
      <c r="B29" t="s">
        <v>45</v>
      </c>
      <c r="C29" t="s">
        <v>19</v>
      </c>
      <c r="D29" t="s">
        <v>12</v>
      </c>
      <c r="E29">
        <v>3</v>
      </c>
      <c r="F29">
        <v>200</v>
      </c>
      <c r="G29">
        <v>600</v>
      </c>
    </row>
    <row r="30" spans="1:7" x14ac:dyDescent="0.25">
      <c r="A30">
        <v>29</v>
      </c>
      <c r="B30" t="s">
        <v>16</v>
      </c>
      <c r="C30" t="s">
        <v>17</v>
      </c>
      <c r="D30" t="s">
        <v>9</v>
      </c>
      <c r="E30">
        <v>5</v>
      </c>
      <c r="F30">
        <v>500</v>
      </c>
      <c r="G30">
        <v>2500</v>
      </c>
    </row>
    <row r="31" spans="1:7" x14ac:dyDescent="0.25">
      <c r="A31">
        <v>30</v>
      </c>
      <c r="B31" t="s">
        <v>46</v>
      </c>
      <c r="C31" t="s">
        <v>31</v>
      </c>
      <c r="D31" t="s">
        <v>15</v>
      </c>
      <c r="E31">
        <v>4</v>
      </c>
      <c r="F31">
        <v>30</v>
      </c>
      <c r="G31">
        <v>120</v>
      </c>
    </row>
    <row r="32" spans="1:7" x14ac:dyDescent="0.25">
      <c r="A32">
        <v>31</v>
      </c>
      <c r="B32" t="s">
        <v>47</v>
      </c>
      <c r="C32" t="s">
        <v>35</v>
      </c>
      <c r="D32" t="s">
        <v>15</v>
      </c>
      <c r="E32">
        <v>5</v>
      </c>
      <c r="F32">
        <v>20</v>
      </c>
      <c r="G32">
        <v>100</v>
      </c>
    </row>
    <row r="33" spans="1:7" x14ac:dyDescent="0.25">
      <c r="A33">
        <v>32</v>
      </c>
      <c r="B33" t="s">
        <v>48</v>
      </c>
      <c r="C33" t="s">
        <v>31</v>
      </c>
      <c r="D33" t="s">
        <v>15</v>
      </c>
      <c r="E33">
        <v>5</v>
      </c>
      <c r="F33">
        <v>30</v>
      </c>
      <c r="G33">
        <v>150</v>
      </c>
    </row>
    <row r="34" spans="1:7" x14ac:dyDescent="0.25">
      <c r="A34">
        <v>33</v>
      </c>
      <c r="B34" t="s">
        <v>49</v>
      </c>
      <c r="C34" t="s">
        <v>17</v>
      </c>
      <c r="D34" t="s">
        <v>9</v>
      </c>
      <c r="E34">
        <v>2</v>
      </c>
      <c r="F34">
        <v>500</v>
      </c>
      <c r="G34">
        <v>1000</v>
      </c>
    </row>
    <row r="35" spans="1:7" x14ac:dyDescent="0.25">
      <c r="A35">
        <v>34</v>
      </c>
      <c r="B35" t="s">
        <v>50</v>
      </c>
      <c r="C35" t="s">
        <v>31</v>
      </c>
      <c r="D35" t="s">
        <v>15</v>
      </c>
      <c r="E35">
        <v>4</v>
      </c>
      <c r="F35">
        <v>30</v>
      </c>
      <c r="G35">
        <v>120</v>
      </c>
    </row>
    <row r="36" spans="1:7" x14ac:dyDescent="0.25">
      <c r="A36">
        <v>35</v>
      </c>
      <c r="B36" t="s">
        <v>51</v>
      </c>
      <c r="C36" t="s">
        <v>17</v>
      </c>
      <c r="D36" t="s">
        <v>9</v>
      </c>
      <c r="E36">
        <v>2</v>
      </c>
      <c r="F36">
        <v>500</v>
      </c>
      <c r="G36">
        <v>1000</v>
      </c>
    </row>
    <row r="37" spans="1:7" x14ac:dyDescent="0.25">
      <c r="A37">
        <v>36</v>
      </c>
      <c r="B37" t="s">
        <v>52</v>
      </c>
      <c r="C37" t="s">
        <v>19</v>
      </c>
      <c r="D37" t="s">
        <v>12</v>
      </c>
      <c r="E37">
        <v>4</v>
      </c>
      <c r="F37">
        <v>200</v>
      </c>
      <c r="G37">
        <v>800</v>
      </c>
    </row>
    <row r="38" spans="1:7" x14ac:dyDescent="0.25">
      <c r="A38">
        <v>37</v>
      </c>
      <c r="B38" t="s">
        <v>53</v>
      </c>
      <c r="C38" t="s">
        <v>19</v>
      </c>
      <c r="D38" t="s">
        <v>12</v>
      </c>
      <c r="E38">
        <v>2</v>
      </c>
      <c r="F38">
        <v>200</v>
      </c>
      <c r="G38">
        <v>400</v>
      </c>
    </row>
    <row r="39" spans="1:7" x14ac:dyDescent="0.25">
      <c r="A39">
        <v>38</v>
      </c>
      <c r="B39" t="s">
        <v>54</v>
      </c>
      <c r="C39" t="s">
        <v>8</v>
      </c>
      <c r="D39" t="s">
        <v>9</v>
      </c>
      <c r="E39">
        <v>2</v>
      </c>
      <c r="F39">
        <v>300</v>
      </c>
      <c r="G39">
        <v>600</v>
      </c>
    </row>
    <row r="40" spans="1:7" x14ac:dyDescent="0.25">
      <c r="A40">
        <v>39</v>
      </c>
      <c r="B40" t="s">
        <v>55</v>
      </c>
      <c r="C40" t="s">
        <v>27</v>
      </c>
      <c r="D40" t="s">
        <v>9</v>
      </c>
      <c r="E40">
        <v>2</v>
      </c>
      <c r="F40">
        <v>800</v>
      </c>
      <c r="G40">
        <v>1600</v>
      </c>
    </row>
    <row r="41" spans="1:7" x14ac:dyDescent="0.25">
      <c r="A41">
        <v>40</v>
      </c>
      <c r="B41" t="s">
        <v>56</v>
      </c>
      <c r="C41" t="s">
        <v>14</v>
      </c>
      <c r="D41" t="s">
        <v>15</v>
      </c>
      <c r="E41">
        <v>1</v>
      </c>
      <c r="F41">
        <v>50</v>
      </c>
      <c r="G41">
        <v>50</v>
      </c>
    </row>
    <row r="42" spans="1:7" x14ac:dyDescent="0.25">
      <c r="A42">
        <v>41</v>
      </c>
      <c r="B42" t="s">
        <v>57</v>
      </c>
      <c r="C42" t="s">
        <v>11</v>
      </c>
      <c r="D42" t="s">
        <v>12</v>
      </c>
      <c r="E42">
        <v>1</v>
      </c>
      <c r="F42">
        <v>120</v>
      </c>
      <c r="G42">
        <v>120</v>
      </c>
    </row>
    <row r="43" spans="1:7" x14ac:dyDescent="0.25">
      <c r="A43">
        <v>42</v>
      </c>
      <c r="B43" t="s">
        <v>58</v>
      </c>
      <c r="C43" t="s">
        <v>8</v>
      </c>
      <c r="D43" t="s">
        <v>9</v>
      </c>
      <c r="E43">
        <v>2</v>
      </c>
      <c r="F43">
        <v>300</v>
      </c>
      <c r="G43">
        <v>600</v>
      </c>
    </row>
    <row r="44" spans="1:7" x14ac:dyDescent="0.25">
      <c r="A44">
        <v>43</v>
      </c>
      <c r="B44" t="s">
        <v>59</v>
      </c>
      <c r="C44" t="s">
        <v>220</v>
      </c>
      <c r="D44" t="s">
        <v>9</v>
      </c>
      <c r="E44">
        <v>3</v>
      </c>
      <c r="F44">
        <v>800</v>
      </c>
      <c r="G44">
        <v>2400</v>
      </c>
    </row>
    <row r="45" spans="1:7" x14ac:dyDescent="0.25">
      <c r="A45">
        <v>44</v>
      </c>
      <c r="B45" t="s">
        <v>60</v>
      </c>
      <c r="C45" t="s">
        <v>27</v>
      </c>
      <c r="D45" t="s">
        <v>9</v>
      </c>
      <c r="E45">
        <v>1</v>
      </c>
      <c r="F45">
        <v>800</v>
      </c>
      <c r="G45">
        <v>800</v>
      </c>
    </row>
    <row r="46" spans="1:7" x14ac:dyDescent="0.25">
      <c r="A46">
        <v>45</v>
      </c>
      <c r="B46" t="s">
        <v>61</v>
      </c>
      <c r="C46" t="s">
        <v>11</v>
      </c>
      <c r="D46" t="s">
        <v>12</v>
      </c>
      <c r="E46">
        <v>3</v>
      </c>
      <c r="F46">
        <v>120</v>
      </c>
      <c r="G46">
        <v>360</v>
      </c>
    </row>
    <row r="47" spans="1:7" x14ac:dyDescent="0.25">
      <c r="A47">
        <v>46</v>
      </c>
      <c r="B47" t="s">
        <v>62</v>
      </c>
      <c r="C47" t="s">
        <v>17</v>
      </c>
      <c r="D47" t="s">
        <v>9</v>
      </c>
      <c r="E47">
        <v>1</v>
      </c>
      <c r="F47">
        <v>500</v>
      </c>
      <c r="G47">
        <v>500</v>
      </c>
    </row>
    <row r="48" spans="1:7" x14ac:dyDescent="0.25">
      <c r="A48">
        <v>47</v>
      </c>
      <c r="B48" t="s">
        <v>63</v>
      </c>
      <c r="C48" t="s">
        <v>11</v>
      </c>
      <c r="D48" t="s">
        <v>12</v>
      </c>
      <c r="E48">
        <v>3</v>
      </c>
      <c r="F48">
        <v>120</v>
      </c>
      <c r="G48">
        <v>360</v>
      </c>
    </row>
    <row r="49" spans="1:7" x14ac:dyDescent="0.25">
      <c r="A49">
        <v>48</v>
      </c>
      <c r="B49" t="s">
        <v>64</v>
      </c>
      <c r="C49" t="s">
        <v>19</v>
      </c>
      <c r="D49" t="s">
        <v>12</v>
      </c>
      <c r="E49">
        <v>3</v>
      </c>
      <c r="F49">
        <v>200</v>
      </c>
      <c r="G49">
        <v>600</v>
      </c>
    </row>
    <row r="50" spans="1:7" x14ac:dyDescent="0.25">
      <c r="A50">
        <v>49</v>
      </c>
      <c r="B50" t="s">
        <v>65</v>
      </c>
      <c r="C50" t="s">
        <v>27</v>
      </c>
      <c r="D50" t="s">
        <v>9</v>
      </c>
      <c r="E50">
        <v>1</v>
      </c>
      <c r="F50">
        <v>800</v>
      </c>
      <c r="G50">
        <v>800</v>
      </c>
    </row>
    <row r="51" spans="1:7" x14ac:dyDescent="0.25">
      <c r="A51">
        <v>50</v>
      </c>
      <c r="B51" t="s">
        <v>66</v>
      </c>
      <c r="C51" t="s">
        <v>17</v>
      </c>
      <c r="D51" t="s">
        <v>9</v>
      </c>
      <c r="E51">
        <v>2</v>
      </c>
      <c r="F51">
        <v>500</v>
      </c>
      <c r="G51">
        <v>1000</v>
      </c>
    </row>
    <row r="52" spans="1:7" x14ac:dyDescent="0.25">
      <c r="A52">
        <v>51</v>
      </c>
      <c r="B52" t="s">
        <v>67</v>
      </c>
      <c r="C52" t="s">
        <v>17</v>
      </c>
      <c r="D52" t="s">
        <v>9</v>
      </c>
      <c r="E52">
        <v>1</v>
      </c>
      <c r="F52">
        <v>500</v>
      </c>
      <c r="G52">
        <v>500</v>
      </c>
    </row>
    <row r="53" spans="1:7" x14ac:dyDescent="0.25">
      <c r="A53">
        <v>52</v>
      </c>
      <c r="B53" t="s">
        <v>68</v>
      </c>
      <c r="C53" t="s">
        <v>17</v>
      </c>
      <c r="D53" t="s">
        <v>9</v>
      </c>
      <c r="E53">
        <v>4</v>
      </c>
      <c r="F53">
        <v>500</v>
      </c>
      <c r="G53">
        <v>2000</v>
      </c>
    </row>
    <row r="54" spans="1:7" x14ac:dyDescent="0.25">
      <c r="A54">
        <v>53</v>
      </c>
      <c r="B54" t="s">
        <v>69</v>
      </c>
      <c r="C54" t="s">
        <v>19</v>
      </c>
      <c r="D54" t="s">
        <v>12</v>
      </c>
      <c r="E54">
        <v>5</v>
      </c>
      <c r="F54">
        <v>200</v>
      </c>
      <c r="G54">
        <v>1000</v>
      </c>
    </row>
    <row r="55" spans="1:7" x14ac:dyDescent="0.25">
      <c r="A55">
        <v>54</v>
      </c>
      <c r="B55" t="s">
        <v>70</v>
      </c>
      <c r="C55" t="s">
        <v>14</v>
      </c>
      <c r="D55" t="s">
        <v>15</v>
      </c>
      <c r="E55">
        <v>2</v>
      </c>
      <c r="F55">
        <v>50</v>
      </c>
      <c r="G55">
        <v>100</v>
      </c>
    </row>
    <row r="56" spans="1:7" x14ac:dyDescent="0.25">
      <c r="A56">
        <v>55</v>
      </c>
      <c r="B56" t="s">
        <v>71</v>
      </c>
      <c r="C56" t="s">
        <v>11</v>
      </c>
      <c r="D56" t="s">
        <v>12</v>
      </c>
      <c r="E56">
        <v>2</v>
      </c>
      <c r="F56">
        <v>120</v>
      </c>
      <c r="G56">
        <v>240</v>
      </c>
    </row>
    <row r="57" spans="1:7" x14ac:dyDescent="0.25">
      <c r="A57">
        <v>56</v>
      </c>
      <c r="B57" t="s">
        <v>64</v>
      </c>
      <c r="C57" t="s">
        <v>11</v>
      </c>
      <c r="D57" t="s">
        <v>12</v>
      </c>
      <c r="E57">
        <v>4</v>
      </c>
      <c r="F57">
        <v>120</v>
      </c>
      <c r="G57">
        <v>480</v>
      </c>
    </row>
    <row r="58" spans="1:7" x14ac:dyDescent="0.25">
      <c r="A58">
        <v>57</v>
      </c>
      <c r="B58" t="s">
        <v>65</v>
      </c>
      <c r="C58" t="s">
        <v>8</v>
      </c>
      <c r="D58" t="s">
        <v>9</v>
      </c>
      <c r="E58">
        <v>5</v>
      </c>
      <c r="F58">
        <v>300</v>
      </c>
      <c r="G58">
        <v>1500</v>
      </c>
    </row>
    <row r="59" spans="1:7" x14ac:dyDescent="0.25">
      <c r="A59">
        <v>58</v>
      </c>
      <c r="B59" t="s">
        <v>72</v>
      </c>
      <c r="C59" t="s">
        <v>27</v>
      </c>
      <c r="D59" t="s">
        <v>9</v>
      </c>
      <c r="E59">
        <v>5</v>
      </c>
      <c r="F59">
        <v>800</v>
      </c>
      <c r="G59">
        <v>4000</v>
      </c>
    </row>
    <row r="60" spans="1:7" x14ac:dyDescent="0.25">
      <c r="A60">
        <v>59</v>
      </c>
      <c r="B60" t="s">
        <v>73</v>
      </c>
      <c r="C60" t="s">
        <v>31</v>
      </c>
      <c r="D60" t="s">
        <v>15</v>
      </c>
      <c r="E60">
        <v>4</v>
      </c>
      <c r="F60">
        <v>30</v>
      </c>
      <c r="G60">
        <v>120</v>
      </c>
    </row>
    <row r="61" spans="1:7" x14ac:dyDescent="0.25">
      <c r="A61">
        <v>60</v>
      </c>
      <c r="B61" t="s">
        <v>74</v>
      </c>
      <c r="C61" t="s">
        <v>27</v>
      </c>
      <c r="D61" t="s">
        <v>9</v>
      </c>
      <c r="E61">
        <v>1</v>
      </c>
      <c r="F61">
        <v>800</v>
      </c>
      <c r="G61">
        <v>800</v>
      </c>
    </row>
    <row r="62" spans="1:7" x14ac:dyDescent="0.25">
      <c r="A62">
        <v>61</v>
      </c>
      <c r="B62" t="s">
        <v>75</v>
      </c>
      <c r="C62" t="s">
        <v>11</v>
      </c>
      <c r="D62" t="s">
        <v>12</v>
      </c>
      <c r="E62">
        <v>4</v>
      </c>
      <c r="F62">
        <v>120</v>
      </c>
      <c r="G62">
        <v>480</v>
      </c>
    </row>
    <row r="63" spans="1:7" x14ac:dyDescent="0.25">
      <c r="A63">
        <v>62</v>
      </c>
      <c r="B63" t="s">
        <v>76</v>
      </c>
      <c r="C63" t="s">
        <v>14</v>
      </c>
      <c r="D63" t="s">
        <v>15</v>
      </c>
      <c r="E63">
        <v>2</v>
      </c>
      <c r="F63">
        <v>50</v>
      </c>
      <c r="G63">
        <v>100</v>
      </c>
    </row>
    <row r="64" spans="1:7" x14ac:dyDescent="0.25">
      <c r="A64">
        <v>63</v>
      </c>
      <c r="B64" t="s">
        <v>77</v>
      </c>
      <c r="C64" t="s">
        <v>27</v>
      </c>
      <c r="D64" t="s">
        <v>9</v>
      </c>
      <c r="E64">
        <v>1</v>
      </c>
      <c r="F64">
        <v>800</v>
      </c>
      <c r="G64">
        <v>800</v>
      </c>
    </row>
    <row r="65" spans="1:7" x14ac:dyDescent="0.25">
      <c r="A65">
        <v>64</v>
      </c>
      <c r="B65" t="s">
        <v>78</v>
      </c>
      <c r="C65" t="s">
        <v>8</v>
      </c>
      <c r="D65" t="s">
        <v>9</v>
      </c>
      <c r="E65">
        <v>2</v>
      </c>
      <c r="F65">
        <v>300</v>
      </c>
      <c r="G65">
        <v>600</v>
      </c>
    </row>
    <row r="66" spans="1:7" x14ac:dyDescent="0.25">
      <c r="A66">
        <v>65</v>
      </c>
      <c r="B66" t="s">
        <v>66</v>
      </c>
      <c r="C66" t="s">
        <v>17</v>
      </c>
      <c r="D66" t="s">
        <v>9</v>
      </c>
      <c r="E66">
        <v>1</v>
      </c>
      <c r="F66">
        <v>500</v>
      </c>
      <c r="G66">
        <v>500</v>
      </c>
    </row>
    <row r="67" spans="1:7" x14ac:dyDescent="0.25">
      <c r="A67">
        <v>66</v>
      </c>
      <c r="B67" t="s">
        <v>79</v>
      </c>
      <c r="C67" t="s">
        <v>31</v>
      </c>
      <c r="D67" t="s">
        <v>15</v>
      </c>
      <c r="E67">
        <v>5</v>
      </c>
      <c r="F67">
        <v>30</v>
      </c>
      <c r="G67">
        <v>150</v>
      </c>
    </row>
    <row r="68" spans="1:7" x14ac:dyDescent="0.25">
      <c r="A68">
        <v>67</v>
      </c>
      <c r="B68" t="s">
        <v>80</v>
      </c>
      <c r="C68" t="s">
        <v>17</v>
      </c>
      <c r="D68" t="s">
        <v>9</v>
      </c>
      <c r="E68">
        <v>3</v>
      </c>
      <c r="F68">
        <v>500</v>
      </c>
      <c r="G68">
        <v>1500</v>
      </c>
    </row>
    <row r="69" spans="1:7" x14ac:dyDescent="0.25">
      <c r="A69">
        <v>68</v>
      </c>
      <c r="B69" t="s">
        <v>81</v>
      </c>
      <c r="C69" t="s">
        <v>8</v>
      </c>
      <c r="D69" t="s">
        <v>9</v>
      </c>
      <c r="E69">
        <v>4</v>
      </c>
      <c r="F69">
        <v>300</v>
      </c>
      <c r="G69">
        <v>1200</v>
      </c>
    </row>
    <row r="70" spans="1:7" x14ac:dyDescent="0.25">
      <c r="A70">
        <v>69</v>
      </c>
      <c r="B70" t="s">
        <v>82</v>
      </c>
      <c r="C70" t="s">
        <v>19</v>
      </c>
      <c r="D70" t="s">
        <v>12</v>
      </c>
      <c r="E70">
        <v>5</v>
      </c>
      <c r="F70">
        <v>200</v>
      </c>
      <c r="G70">
        <v>1000</v>
      </c>
    </row>
    <row r="71" spans="1:7" x14ac:dyDescent="0.25">
      <c r="A71">
        <v>70</v>
      </c>
      <c r="B71" t="s">
        <v>83</v>
      </c>
      <c r="C71" t="s">
        <v>14</v>
      </c>
      <c r="D71" t="s">
        <v>15</v>
      </c>
      <c r="E71">
        <v>3</v>
      </c>
      <c r="F71">
        <v>50</v>
      </c>
      <c r="G71">
        <v>150</v>
      </c>
    </row>
    <row r="72" spans="1:7" x14ac:dyDescent="0.25">
      <c r="A72">
        <v>71</v>
      </c>
      <c r="B72" t="s">
        <v>84</v>
      </c>
      <c r="C72" t="s">
        <v>17</v>
      </c>
      <c r="D72" t="s">
        <v>9</v>
      </c>
      <c r="E72">
        <v>4</v>
      </c>
      <c r="F72">
        <v>500</v>
      </c>
      <c r="G72">
        <v>2000</v>
      </c>
    </row>
    <row r="73" spans="1:7" x14ac:dyDescent="0.25">
      <c r="A73">
        <v>72</v>
      </c>
      <c r="B73" t="s">
        <v>85</v>
      </c>
      <c r="C73" t="s">
        <v>11</v>
      </c>
      <c r="D73" t="s">
        <v>12</v>
      </c>
      <c r="E73">
        <v>2</v>
      </c>
      <c r="F73">
        <v>120</v>
      </c>
      <c r="G73">
        <v>240</v>
      </c>
    </row>
    <row r="74" spans="1:7" x14ac:dyDescent="0.25">
      <c r="A74">
        <v>73</v>
      </c>
      <c r="B74" t="s">
        <v>86</v>
      </c>
      <c r="C74" t="s">
        <v>35</v>
      </c>
      <c r="D74" t="s">
        <v>15</v>
      </c>
      <c r="E74">
        <v>1</v>
      </c>
      <c r="F74">
        <v>20</v>
      </c>
      <c r="G74">
        <v>20</v>
      </c>
    </row>
    <row r="75" spans="1:7" x14ac:dyDescent="0.25">
      <c r="A75">
        <v>74</v>
      </c>
      <c r="B75" t="s">
        <v>18</v>
      </c>
      <c r="C75" t="s">
        <v>35</v>
      </c>
      <c r="D75" t="s">
        <v>15</v>
      </c>
      <c r="E75">
        <v>5</v>
      </c>
      <c r="F75">
        <v>20</v>
      </c>
      <c r="G75">
        <v>100</v>
      </c>
    </row>
    <row r="76" spans="1:7" x14ac:dyDescent="0.25">
      <c r="A76">
        <v>75</v>
      </c>
      <c r="B76" t="s">
        <v>87</v>
      </c>
      <c r="C76" t="s">
        <v>35</v>
      </c>
      <c r="D76" t="s">
        <v>15</v>
      </c>
      <c r="E76">
        <v>2</v>
      </c>
      <c r="F76">
        <v>20</v>
      </c>
      <c r="G76">
        <v>40</v>
      </c>
    </row>
    <row r="77" spans="1:7" x14ac:dyDescent="0.25">
      <c r="A77">
        <v>76</v>
      </c>
      <c r="B77" t="s">
        <v>88</v>
      </c>
      <c r="C77" t="s">
        <v>14</v>
      </c>
      <c r="D77" t="s">
        <v>15</v>
      </c>
      <c r="E77">
        <v>2</v>
      </c>
      <c r="F77">
        <v>50</v>
      </c>
      <c r="G77">
        <v>100</v>
      </c>
    </row>
    <row r="78" spans="1:7" x14ac:dyDescent="0.25">
      <c r="A78">
        <v>77</v>
      </c>
      <c r="B78" t="s">
        <v>89</v>
      </c>
      <c r="C78" t="s">
        <v>27</v>
      </c>
      <c r="D78" t="s">
        <v>9</v>
      </c>
      <c r="E78">
        <v>1</v>
      </c>
      <c r="F78">
        <v>800</v>
      </c>
      <c r="G78">
        <v>800</v>
      </c>
    </row>
    <row r="79" spans="1:7" x14ac:dyDescent="0.25">
      <c r="A79">
        <v>78</v>
      </c>
      <c r="B79" t="s">
        <v>77</v>
      </c>
      <c r="C79" t="s">
        <v>31</v>
      </c>
      <c r="D79" t="s">
        <v>15</v>
      </c>
      <c r="E79">
        <v>5</v>
      </c>
      <c r="F79">
        <v>30</v>
      </c>
      <c r="G79">
        <v>150</v>
      </c>
    </row>
    <row r="80" spans="1:7" x14ac:dyDescent="0.25">
      <c r="A80">
        <v>79</v>
      </c>
      <c r="B80" t="s">
        <v>28</v>
      </c>
      <c r="C80" t="s">
        <v>17</v>
      </c>
      <c r="D80" t="s">
        <v>9</v>
      </c>
      <c r="E80">
        <v>2</v>
      </c>
      <c r="F80">
        <v>500</v>
      </c>
      <c r="G80">
        <v>1000</v>
      </c>
    </row>
    <row r="81" spans="1:7" x14ac:dyDescent="0.25">
      <c r="A81">
        <v>80</v>
      </c>
      <c r="B81" t="s">
        <v>90</v>
      </c>
      <c r="C81" t="s">
        <v>229</v>
      </c>
      <c r="D81" t="s">
        <v>15</v>
      </c>
      <c r="E81">
        <v>1</v>
      </c>
      <c r="F81">
        <v>20</v>
      </c>
      <c r="G81">
        <v>20</v>
      </c>
    </row>
    <row r="82" spans="1:7" x14ac:dyDescent="0.25">
      <c r="A82">
        <v>81</v>
      </c>
      <c r="B82" t="s">
        <v>10</v>
      </c>
      <c r="C82" t="s">
        <v>31</v>
      </c>
      <c r="D82" t="s">
        <v>15</v>
      </c>
      <c r="E82">
        <v>3</v>
      </c>
      <c r="F82">
        <v>30</v>
      </c>
      <c r="G82">
        <v>90</v>
      </c>
    </row>
    <row r="83" spans="1:7" x14ac:dyDescent="0.25">
      <c r="A83">
        <v>82</v>
      </c>
      <c r="B83" t="s">
        <v>91</v>
      </c>
      <c r="C83" t="s">
        <v>35</v>
      </c>
      <c r="D83" t="s">
        <v>15</v>
      </c>
      <c r="E83">
        <v>1</v>
      </c>
      <c r="F83">
        <v>20</v>
      </c>
      <c r="G83">
        <v>20</v>
      </c>
    </row>
    <row r="84" spans="1:7" x14ac:dyDescent="0.25">
      <c r="A84">
        <v>83</v>
      </c>
      <c r="B84" t="s">
        <v>92</v>
      </c>
      <c r="C84" t="s">
        <v>11</v>
      </c>
      <c r="D84" t="s">
        <v>12</v>
      </c>
      <c r="E84">
        <v>3</v>
      </c>
      <c r="F84">
        <v>120</v>
      </c>
      <c r="G84">
        <v>360</v>
      </c>
    </row>
    <row r="85" spans="1:7" x14ac:dyDescent="0.25">
      <c r="A85">
        <v>84</v>
      </c>
      <c r="B85" t="s">
        <v>93</v>
      </c>
      <c r="C85" t="s">
        <v>8</v>
      </c>
      <c r="D85" t="s">
        <v>9</v>
      </c>
      <c r="E85">
        <v>2</v>
      </c>
      <c r="F85">
        <v>300</v>
      </c>
      <c r="G85">
        <v>600</v>
      </c>
    </row>
    <row r="86" spans="1:7" x14ac:dyDescent="0.25">
      <c r="A86">
        <v>85</v>
      </c>
      <c r="B86" t="s">
        <v>94</v>
      </c>
      <c r="C86" t="s">
        <v>27</v>
      </c>
      <c r="D86" t="s">
        <v>9</v>
      </c>
      <c r="E86">
        <v>1</v>
      </c>
      <c r="G86">
        <v>800</v>
      </c>
    </row>
    <row r="87" spans="1:7" x14ac:dyDescent="0.25">
      <c r="A87">
        <v>86</v>
      </c>
      <c r="B87" t="s">
        <v>45</v>
      </c>
      <c r="C87" t="s">
        <v>17</v>
      </c>
      <c r="D87" t="s">
        <v>9</v>
      </c>
      <c r="E87">
        <v>2</v>
      </c>
      <c r="F87">
        <v>500</v>
      </c>
      <c r="G87">
        <v>1000</v>
      </c>
    </row>
    <row r="88" spans="1:7" x14ac:dyDescent="0.25">
      <c r="A88">
        <v>87</v>
      </c>
      <c r="B88" t="s">
        <v>78</v>
      </c>
      <c r="C88" t="s">
        <v>19</v>
      </c>
      <c r="D88" t="s">
        <v>12</v>
      </c>
      <c r="E88">
        <v>2</v>
      </c>
      <c r="F88">
        <v>200</v>
      </c>
      <c r="G88">
        <v>400</v>
      </c>
    </row>
    <row r="89" spans="1:7" x14ac:dyDescent="0.25">
      <c r="A89">
        <v>88</v>
      </c>
      <c r="B89" t="s">
        <v>95</v>
      </c>
      <c r="C89" t="s">
        <v>14</v>
      </c>
      <c r="D89" t="s">
        <v>15</v>
      </c>
      <c r="E89">
        <v>2</v>
      </c>
      <c r="F89">
        <v>50</v>
      </c>
      <c r="G89">
        <v>100</v>
      </c>
    </row>
    <row r="90" spans="1:7" x14ac:dyDescent="0.25">
      <c r="A90">
        <v>89</v>
      </c>
      <c r="B90" t="s">
        <v>96</v>
      </c>
      <c r="C90" t="s">
        <v>19</v>
      </c>
      <c r="D90" t="s">
        <v>12</v>
      </c>
      <c r="E90">
        <v>1</v>
      </c>
      <c r="F90">
        <v>200</v>
      </c>
      <c r="G90">
        <v>200</v>
      </c>
    </row>
    <row r="91" spans="1:7" x14ac:dyDescent="0.25">
      <c r="A91">
        <v>90</v>
      </c>
      <c r="B91" t="s">
        <v>97</v>
      </c>
      <c r="C91" t="s">
        <v>31</v>
      </c>
      <c r="D91" t="s">
        <v>15</v>
      </c>
      <c r="E91">
        <v>5</v>
      </c>
      <c r="F91">
        <v>30</v>
      </c>
      <c r="G91">
        <v>150</v>
      </c>
    </row>
    <row r="92" spans="1:7" x14ac:dyDescent="0.25">
      <c r="A92">
        <v>91</v>
      </c>
      <c r="B92" t="s">
        <v>98</v>
      </c>
      <c r="C92" t="s">
        <v>14</v>
      </c>
      <c r="D92" t="s">
        <v>15</v>
      </c>
      <c r="E92">
        <v>1</v>
      </c>
      <c r="F92">
        <v>50</v>
      </c>
      <c r="G92">
        <v>50</v>
      </c>
    </row>
    <row r="93" spans="1:7" x14ac:dyDescent="0.25">
      <c r="A93">
        <v>92</v>
      </c>
      <c r="B93" t="s">
        <v>56</v>
      </c>
      <c r="C93" t="s">
        <v>31</v>
      </c>
      <c r="D93" t="s">
        <v>15</v>
      </c>
      <c r="E93">
        <v>5</v>
      </c>
      <c r="F93">
        <v>30</v>
      </c>
      <c r="G93">
        <v>150</v>
      </c>
    </row>
    <row r="94" spans="1:7" x14ac:dyDescent="0.25">
      <c r="A94">
        <v>93</v>
      </c>
      <c r="B94" t="s">
        <v>99</v>
      </c>
      <c r="C94" t="s">
        <v>35</v>
      </c>
      <c r="D94" t="s">
        <v>15</v>
      </c>
      <c r="E94">
        <v>1</v>
      </c>
      <c r="F94">
        <v>20</v>
      </c>
      <c r="G94">
        <v>20</v>
      </c>
    </row>
    <row r="95" spans="1:7" x14ac:dyDescent="0.25">
      <c r="A95">
        <v>94</v>
      </c>
      <c r="B95" t="s">
        <v>100</v>
      </c>
      <c r="C95" t="s">
        <v>27</v>
      </c>
      <c r="D95" t="s">
        <v>9</v>
      </c>
      <c r="E95">
        <v>2</v>
      </c>
      <c r="F95">
        <v>800</v>
      </c>
      <c r="G95">
        <v>1600</v>
      </c>
    </row>
    <row r="96" spans="1:7" x14ac:dyDescent="0.25">
      <c r="A96">
        <v>95</v>
      </c>
      <c r="B96" t="s">
        <v>101</v>
      </c>
      <c r="C96" t="s">
        <v>19</v>
      </c>
      <c r="D96" t="s">
        <v>12</v>
      </c>
      <c r="E96">
        <v>1</v>
      </c>
      <c r="F96">
        <v>200</v>
      </c>
      <c r="G96">
        <v>200</v>
      </c>
    </row>
    <row r="97" spans="1:7" x14ac:dyDescent="0.25">
      <c r="A97">
        <v>96</v>
      </c>
      <c r="B97" t="s">
        <v>102</v>
      </c>
      <c r="C97" t="s">
        <v>11</v>
      </c>
      <c r="D97" t="s">
        <v>12</v>
      </c>
      <c r="E97">
        <v>1</v>
      </c>
      <c r="F97">
        <v>120</v>
      </c>
      <c r="G97">
        <v>120</v>
      </c>
    </row>
    <row r="98" spans="1:7" x14ac:dyDescent="0.25">
      <c r="A98">
        <v>97</v>
      </c>
      <c r="B98" t="s">
        <v>103</v>
      </c>
      <c r="C98" t="s">
        <v>8</v>
      </c>
      <c r="D98" t="s">
        <v>9</v>
      </c>
      <c r="E98">
        <v>4</v>
      </c>
      <c r="F98">
        <v>300</v>
      </c>
      <c r="G98">
        <v>1200</v>
      </c>
    </row>
    <row r="99" spans="1:7" x14ac:dyDescent="0.25">
      <c r="A99">
        <v>98</v>
      </c>
      <c r="B99" t="s">
        <v>42</v>
      </c>
      <c r="C99" t="s">
        <v>8</v>
      </c>
      <c r="D99" t="s">
        <v>9</v>
      </c>
      <c r="E99">
        <v>4</v>
      </c>
      <c r="F99">
        <v>300</v>
      </c>
      <c r="G99">
        <v>1200</v>
      </c>
    </row>
    <row r="100" spans="1:7" x14ac:dyDescent="0.25">
      <c r="A100">
        <v>99</v>
      </c>
      <c r="B100" t="s">
        <v>104</v>
      </c>
      <c r="C100" t="s">
        <v>35</v>
      </c>
      <c r="D100" t="s">
        <v>15</v>
      </c>
      <c r="E100">
        <v>4</v>
      </c>
      <c r="F100">
        <v>20</v>
      </c>
      <c r="G100">
        <v>80</v>
      </c>
    </row>
    <row r="101" spans="1:7" x14ac:dyDescent="0.25">
      <c r="A101">
        <v>100</v>
      </c>
      <c r="B101" t="s">
        <v>105</v>
      </c>
      <c r="C101" t="s">
        <v>35</v>
      </c>
      <c r="D101" t="s">
        <v>15</v>
      </c>
      <c r="E101">
        <v>2</v>
      </c>
      <c r="F101">
        <v>20</v>
      </c>
      <c r="G101">
        <v>40</v>
      </c>
    </row>
    <row r="102" spans="1:7" x14ac:dyDescent="0.25">
      <c r="A102">
        <v>101</v>
      </c>
      <c r="B102" t="s">
        <v>92</v>
      </c>
      <c r="C102" t="s">
        <v>11</v>
      </c>
      <c r="D102" t="s">
        <v>12</v>
      </c>
      <c r="E102">
        <v>5</v>
      </c>
      <c r="F102">
        <v>120</v>
      </c>
      <c r="G102">
        <v>600</v>
      </c>
    </row>
    <row r="103" spans="1:7" x14ac:dyDescent="0.25">
      <c r="A103">
        <v>102</v>
      </c>
      <c r="B103" t="s">
        <v>106</v>
      </c>
      <c r="C103" t="s">
        <v>221</v>
      </c>
      <c r="D103" t="s">
        <v>12</v>
      </c>
      <c r="E103">
        <v>2</v>
      </c>
      <c r="F103">
        <v>200</v>
      </c>
      <c r="G103">
        <v>400</v>
      </c>
    </row>
    <row r="104" spans="1:7" x14ac:dyDescent="0.25">
      <c r="A104">
        <v>103</v>
      </c>
      <c r="B104" t="s">
        <v>80</v>
      </c>
      <c r="C104" t="s">
        <v>14</v>
      </c>
      <c r="D104" t="s">
        <v>15</v>
      </c>
      <c r="E104">
        <v>4</v>
      </c>
      <c r="F104">
        <v>50</v>
      </c>
      <c r="G104">
        <v>200</v>
      </c>
    </row>
    <row r="105" spans="1:7" x14ac:dyDescent="0.25">
      <c r="A105">
        <v>104</v>
      </c>
      <c r="B105" t="s">
        <v>107</v>
      </c>
      <c r="C105" t="s">
        <v>11</v>
      </c>
      <c r="D105" t="s">
        <v>12</v>
      </c>
      <c r="E105">
        <v>2</v>
      </c>
      <c r="F105">
        <v>120</v>
      </c>
      <c r="G105">
        <v>240</v>
      </c>
    </row>
    <row r="106" spans="1:7" x14ac:dyDescent="0.25">
      <c r="A106">
        <v>105</v>
      </c>
      <c r="B106" t="s">
        <v>108</v>
      </c>
      <c r="C106" t="s">
        <v>19</v>
      </c>
      <c r="D106" t="s">
        <v>12</v>
      </c>
      <c r="E106">
        <v>5</v>
      </c>
      <c r="F106">
        <v>200</v>
      </c>
      <c r="G106">
        <v>1000</v>
      </c>
    </row>
    <row r="107" spans="1:7" x14ac:dyDescent="0.25">
      <c r="A107">
        <v>106</v>
      </c>
      <c r="B107" t="s">
        <v>105</v>
      </c>
      <c r="C107" t="s">
        <v>11</v>
      </c>
      <c r="D107" t="s">
        <v>12</v>
      </c>
      <c r="E107">
        <v>5</v>
      </c>
      <c r="F107">
        <v>120</v>
      </c>
      <c r="G107">
        <v>600</v>
      </c>
    </row>
    <row r="108" spans="1:7" x14ac:dyDescent="0.25">
      <c r="A108">
        <v>107</v>
      </c>
      <c r="B108" t="s">
        <v>109</v>
      </c>
      <c r="C108" t="s">
        <v>19</v>
      </c>
      <c r="D108" t="s">
        <v>12</v>
      </c>
      <c r="E108">
        <v>1</v>
      </c>
      <c r="F108">
        <v>200</v>
      </c>
      <c r="G108">
        <v>200</v>
      </c>
    </row>
    <row r="109" spans="1:7" x14ac:dyDescent="0.25">
      <c r="A109">
        <v>108</v>
      </c>
      <c r="B109" t="s">
        <v>110</v>
      </c>
      <c r="C109" t="s">
        <v>31</v>
      </c>
      <c r="D109" t="s">
        <v>15</v>
      </c>
      <c r="E109">
        <v>5</v>
      </c>
      <c r="F109">
        <v>30</v>
      </c>
      <c r="G109">
        <v>150</v>
      </c>
    </row>
    <row r="110" spans="1:7" x14ac:dyDescent="0.25">
      <c r="A110">
        <v>109</v>
      </c>
      <c r="B110" t="s">
        <v>111</v>
      </c>
      <c r="C110" t="s">
        <v>17</v>
      </c>
      <c r="D110" t="s">
        <v>9</v>
      </c>
      <c r="E110">
        <v>5</v>
      </c>
      <c r="F110">
        <v>500</v>
      </c>
      <c r="G110">
        <v>2500</v>
      </c>
    </row>
    <row r="111" spans="1:7" x14ac:dyDescent="0.25">
      <c r="A111">
        <v>110</v>
      </c>
      <c r="B111" t="s">
        <v>112</v>
      </c>
      <c r="C111" t="s">
        <v>31</v>
      </c>
      <c r="D111" t="s">
        <v>15</v>
      </c>
      <c r="E111">
        <v>1</v>
      </c>
      <c r="F111">
        <v>30</v>
      </c>
      <c r="G111">
        <v>30</v>
      </c>
    </row>
    <row r="112" spans="1:7" x14ac:dyDescent="0.25">
      <c r="A112">
        <v>111</v>
      </c>
      <c r="B112" t="s">
        <v>113</v>
      </c>
      <c r="C112" t="s">
        <v>27</v>
      </c>
      <c r="D112" t="s">
        <v>9</v>
      </c>
      <c r="E112">
        <v>3</v>
      </c>
      <c r="F112">
        <v>800</v>
      </c>
      <c r="G112">
        <v>2400</v>
      </c>
    </row>
    <row r="113" spans="1:7" x14ac:dyDescent="0.25">
      <c r="A113">
        <v>112</v>
      </c>
      <c r="B113" t="s">
        <v>103</v>
      </c>
      <c r="C113" t="s">
        <v>31</v>
      </c>
      <c r="D113" t="s">
        <v>15</v>
      </c>
      <c r="E113">
        <v>2</v>
      </c>
      <c r="F113">
        <v>30</v>
      </c>
      <c r="G113">
        <v>60</v>
      </c>
    </row>
    <row r="114" spans="1:7" x14ac:dyDescent="0.25">
      <c r="A114">
        <v>113</v>
      </c>
      <c r="B114" t="s">
        <v>114</v>
      </c>
      <c r="C114" t="s">
        <v>17</v>
      </c>
      <c r="D114" t="s">
        <v>9</v>
      </c>
      <c r="E114">
        <v>5</v>
      </c>
      <c r="F114">
        <v>500</v>
      </c>
      <c r="G114">
        <v>2500</v>
      </c>
    </row>
    <row r="115" spans="1:7" x14ac:dyDescent="0.25">
      <c r="A115">
        <v>114</v>
      </c>
      <c r="B115" t="s">
        <v>115</v>
      </c>
      <c r="C115" t="s">
        <v>14</v>
      </c>
      <c r="D115" t="s">
        <v>15</v>
      </c>
      <c r="E115">
        <v>1</v>
      </c>
      <c r="F115">
        <v>50</v>
      </c>
      <c r="G115">
        <v>50</v>
      </c>
    </row>
    <row r="116" spans="1:7" x14ac:dyDescent="0.25">
      <c r="A116">
        <v>115</v>
      </c>
      <c r="B116" t="s">
        <v>116</v>
      </c>
      <c r="C116" t="s">
        <v>35</v>
      </c>
      <c r="D116" t="s">
        <v>15</v>
      </c>
      <c r="E116">
        <v>4</v>
      </c>
      <c r="F116">
        <v>20</v>
      </c>
      <c r="G116">
        <v>80</v>
      </c>
    </row>
    <row r="117" spans="1:7" x14ac:dyDescent="0.25">
      <c r="A117">
        <v>116</v>
      </c>
      <c r="B117" t="s">
        <v>75</v>
      </c>
      <c r="C117" t="s">
        <v>31</v>
      </c>
      <c r="D117" t="s">
        <v>15</v>
      </c>
      <c r="E117">
        <v>4</v>
      </c>
      <c r="F117">
        <v>30</v>
      </c>
      <c r="G117">
        <v>120</v>
      </c>
    </row>
    <row r="118" spans="1:7" x14ac:dyDescent="0.25">
      <c r="A118">
        <v>117</v>
      </c>
      <c r="B118" t="s">
        <v>117</v>
      </c>
      <c r="C118" t="s">
        <v>31</v>
      </c>
      <c r="D118" t="s">
        <v>15</v>
      </c>
      <c r="E118">
        <v>3</v>
      </c>
      <c r="F118">
        <v>30</v>
      </c>
      <c r="G118">
        <v>90</v>
      </c>
    </row>
    <row r="119" spans="1:7" x14ac:dyDescent="0.25">
      <c r="A119">
        <v>118</v>
      </c>
      <c r="B119" t="s">
        <v>118</v>
      </c>
      <c r="C119" t="s">
        <v>35</v>
      </c>
      <c r="D119" t="s">
        <v>15</v>
      </c>
      <c r="E119">
        <v>5</v>
      </c>
      <c r="F119">
        <v>20</v>
      </c>
      <c r="G119">
        <v>100</v>
      </c>
    </row>
    <row r="120" spans="1:7" x14ac:dyDescent="0.25">
      <c r="A120">
        <v>119</v>
      </c>
      <c r="B120" t="s">
        <v>119</v>
      </c>
      <c r="C120" t="s">
        <v>8</v>
      </c>
      <c r="D120" t="s">
        <v>9</v>
      </c>
      <c r="E120">
        <v>4</v>
      </c>
      <c r="F120">
        <v>300</v>
      </c>
      <c r="G120">
        <v>1200</v>
      </c>
    </row>
    <row r="121" spans="1:7" x14ac:dyDescent="0.25">
      <c r="A121">
        <v>120</v>
      </c>
      <c r="B121" t="s">
        <v>120</v>
      </c>
      <c r="C121" t="s">
        <v>14</v>
      </c>
      <c r="D121" t="s">
        <v>15</v>
      </c>
      <c r="E121">
        <v>4</v>
      </c>
      <c r="F121">
        <v>50</v>
      </c>
      <c r="G121">
        <v>200</v>
      </c>
    </row>
    <row r="122" spans="1:7" x14ac:dyDescent="0.25">
      <c r="A122">
        <v>121</v>
      </c>
      <c r="B122" t="s">
        <v>121</v>
      </c>
      <c r="C122" t="s">
        <v>17</v>
      </c>
      <c r="D122" t="s">
        <v>9</v>
      </c>
      <c r="E122">
        <v>3</v>
      </c>
      <c r="F122">
        <v>500</v>
      </c>
      <c r="G122">
        <v>1500</v>
      </c>
    </row>
    <row r="123" spans="1:7" x14ac:dyDescent="0.25">
      <c r="A123">
        <v>122</v>
      </c>
      <c r="B123" t="s">
        <v>122</v>
      </c>
      <c r="C123" t="s">
        <v>17</v>
      </c>
      <c r="D123" t="s">
        <v>9</v>
      </c>
      <c r="E123">
        <v>1</v>
      </c>
      <c r="G123">
        <v>500</v>
      </c>
    </row>
    <row r="124" spans="1:7" x14ac:dyDescent="0.25">
      <c r="A124">
        <v>123</v>
      </c>
      <c r="B124" t="s">
        <v>123</v>
      </c>
      <c r="C124" t="s">
        <v>17</v>
      </c>
      <c r="D124" t="s">
        <v>9</v>
      </c>
      <c r="E124">
        <v>3</v>
      </c>
      <c r="F124">
        <v>500</v>
      </c>
      <c r="G124">
        <v>1500</v>
      </c>
    </row>
    <row r="125" spans="1:7" x14ac:dyDescent="0.25">
      <c r="A125">
        <v>124</v>
      </c>
      <c r="B125" t="s">
        <v>124</v>
      </c>
      <c r="C125" t="s">
        <v>11</v>
      </c>
      <c r="D125" t="s">
        <v>12</v>
      </c>
      <c r="E125">
        <v>5</v>
      </c>
      <c r="F125">
        <v>120</v>
      </c>
      <c r="G125">
        <v>600</v>
      </c>
    </row>
    <row r="126" spans="1:7" x14ac:dyDescent="0.25">
      <c r="A126">
        <v>125</v>
      </c>
      <c r="B126" t="s">
        <v>45</v>
      </c>
      <c r="C126" t="s">
        <v>14</v>
      </c>
      <c r="D126" t="s">
        <v>15</v>
      </c>
      <c r="E126">
        <v>2</v>
      </c>
      <c r="F126">
        <v>50</v>
      </c>
      <c r="G126">
        <v>100</v>
      </c>
    </row>
    <row r="127" spans="1:7" x14ac:dyDescent="0.25">
      <c r="A127">
        <v>126</v>
      </c>
      <c r="B127" t="s">
        <v>125</v>
      </c>
      <c r="C127" t="s">
        <v>31</v>
      </c>
      <c r="D127" t="s">
        <v>15</v>
      </c>
      <c r="E127">
        <v>4</v>
      </c>
      <c r="F127">
        <v>30</v>
      </c>
      <c r="G127">
        <v>120</v>
      </c>
    </row>
    <row r="128" spans="1:7" x14ac:dyDescent="0.25">
      <c r="A128">
        <v>127</v>
      </c>
      <c r="B128" t="s">
        <v>126</v>
      </c>
      <c r="C128" t="s">
        <v>27</v>
      </c>
      <c r="D128" t="s">
        <v>9</v>
      </c>
      <c r="E128">
        <v>2</v>
      </c>
      <c r="F128">
        <v>800</v>
      </c>
      <c r="G128">
        <v>1600</v>
      </c>
    </row>
    <row r="129" spans="1:7" x14ac:dyDescent="0.25">
      <c r="A129">
        <v>128</v>
      </c>
      <c r="B129" t="s">
        <v>127</v>
      </c>
      <c r="C129" t="s">
        <v>11</v>
      </c>
      <c r="D129" t="s">
        <v>12</v>
      </c>
      <c r="E129">
        <v>2</v>
      </c>
      <c r="F129">
        <v>120</v>
      </c>
      <c r="G129">
        <v>240</v>
      </c>
    </row>
    <row r="130" spans="1:7" x14ac:dyDescent="0.25">
      <c r="A130">
        <v>129</v>
      </c>
      <c r="B130" t="s">
        <v>128</v>
      </c>
      <c r="C130" t="s">
        <v>19</v>
      </c>
      <c r="D130" t="s">
        <v>12</v>
      </c>
      <c r="E130">
        <v>1</v>
      </c>
      <c r="F130">
        <v>200</v>
      </c>
      <c r="G130">
        <v>200</v>
      </c>
    </row>
    <row r="131" spans="1:7" x14ac:dyDescent="0.25">
      <c r="A131">
        <v>130</v>
      </c>
      <c r="B131" t="s">
        <v>48</v>
      </c>
      <c r="C131" t="s">
        <v>27</v>
      </c>
      <c r="D131" t="s">
        <v>9</v>
      </c>
      <c r="E131">
        <v>1</v>
      </c>
      <c r="F131">
        <v>800</v>
      </c>
      <c r="G131">
        <v>800</v>
      </c>
    </row>
    <row r="132" spans="1:7" x14ac:dyDescent="0.25">
      <c r="A132">
        <v>131</v>
      </c>
      <c r="B132" t="s">
        <v>129</v>
      </c>
      <c r="C132" t="s">
        <v>35</v>
      </c>
      <c r="D132" t="s">
        <v>15</v>
      </c>
      <c r="E132">
        <v>5</v>
      </c>
      <c r="F132">
        <v>20</v>
      </c>
      <c r="G132">
        <v>100</v>
      </c>
    </row>
    <row r="133" spans="1:7" x14ac:dyDescent="0.25">
      <c r="A133">
        <v>132</v>
      </c>
      <c r="B133" t="s">
        <v>65</v>
      </c>
      <c r="C133" t="s">
        <v>31</v>
      </c>
      <c r="D133" t="s">
        <v>15</v>
      </c>
      <c r="E133">
        <v>4</v>
      </c>
      <c r="F133">
        <v>30</v>
      </c>
      <c r="G133">
        <v>120</v>
      </c>
    </row>
    <row r="134" spans="1:7" x14ac:dyDescent="0.25">
      <c r="A134">
        <v>133</v>
      </c>
      <c r="B134" t="s">
        <v>26</v>
      </c>
      <c r="C134" t="s">
        <v>11</v>
      </c>
      <c r="D134" t="s">
        <v>12</v>
      </c>
      <c r="E134">
        <v>1</v>
      </c>
      <c r="F134">
        <v>120</v>
      </c>
      <c r="G134">
        <v>120</v>
      </c>
    </row>
    <row r="135" spans="1:7" x14ac:dyDescent="0.25">
      <c r="A135">
        <v>134</v>
      </c>
      <c r="B135" t="s">
        <v>130</v>
      </c>
      <c r="C135" t="s">
        <v>31</v>
      </c>
      <c r="D135" t="s">
        <v>15</v>
      </c>
      <c r="E135">
        <v>4</v>
      </c>
      <c r="F135">
        <v>30</v>
      </c>
      <c r="G135">
        <v>120</v>
      </c>
    </row>
    <row r="136" spans="1:7" x14ac:dyDescent="0.25">
      <c r="A136">
        <v>135</v>
      </c>
      <c r="B136" t="s">
        <v>131</v>
      </c>
      <c r="C136" t="s">
        <v>35</v>
      </c>
      <c r="D136" t="s">
        <v>15</v>
      </c>
      <c r="E136">
        <v>1</v>
      </c>
      <c r="F136">
        <v>20</v>
      </c>
      <c r="G136">
        <v>20</v>
      </c>
    </row>
    <row r="137" spans="1:7" x14ac:dyDescent="0.25">
      <c r="A137">
        <v>136</v>
      </c>
      <c r="B137" t="s">
        <v>119</v>
      </c>
      <c r="C137" t="s">
        <v>17</v>
      </c>
      <c r="D137" t="s">
        <v>9</v>
      </c>
      <c r="E137">
        <v>5</v>
      </c>
      <c r="F137">
        <v>500</v>
      </c>
      <c r="G137">
        <v>2500</v>
      </c>
    </row>
    <row r="138" spans="1:7" x14ac:dyDescent="0.25">
      <c r="A138">
        <v>137</v>
      </c>
      <c r="B138" t="s">
        <v>132</v>
      </c>
      <c r="C138" t="s">
        <v>11</v>
      </c>
      <c r="D138" t="s">
        <v>12</v>
      </c>
      <c r="E138">
        <v>5</v>
      </c>
      <c r="F138">
        <v>120</v>
      </c>
      <c r="G138">
        <v>600</v>
      </c>
    </row>
    <row r="139" spans="1:7" x14ac:dyDescent="0.25">
      <c r="A139">
        <v>138</v>
      </c>
      <c r="B139" t="s">
        <v>133</v>
      </c>
      <c r="C139" t="s">
        <v>11</v>
      </c>
      <c r="D139" t="s">
        <v>12</v>
      </c>
      <c r="E139">
        <v>2</v>
      </c>
      <c r="F139">
        <v>120</v>
      </c>
      <c r="G139">
        <v>240</v>
      </c>
    </row>
    <row r="140" spans="1:7" x14ac:dyDescent="0.25">
      <c r="A140">
        <v>139</v>
      </c>
      <c r="B140" t="s">
        <v>114</v>
      </c>
      <c r="C140" t="s">
        <v>8</v>
      </c>
      <c r="D140" t="s">
        <v>9</v>
      </c>
      <c r="E140">
        <v>5</v>
      </c>
      <c r="F140">
        <v>300</v>
      </c>
      <c r="G140">
        <v>1500</v>
      </c>
    </row>
    <row r="141" spans="1:7" x14ac:dyDescent="0.25">
      <c r="A141">
        <v>140</v>
      </c>
      <c r="B141" t="s">
        <v>25</v>
      </c>
      <c r="C141" t="s">
        <v>31</v>
      </c>
      <c r="D141" t="s">
        <v>15</v>
      </c>
      <c r="E141">
        <v>3</v>
      </c>
      <c r="F141">
        <v>30</v>
      </c>
      <c r="G141">
        <v>90</v>
      </c>
    </row>
    <row r="142" spans="1:7" x14ac:dyDescent="0.25">
      <c r="A142">
        <v>141</v>
      </c>
      <c r="B142" t="s">
        <v>134</v>
      </c>
      <c r="C142" t="s">
        <v>31</v>
      </c>
      <c r="D142" t="s">
        <v>15</v>
      </c>
      <c r="E142">
        <v>2</v>
      </c>
      <c r="F142">
        <v>30</v>
      </c>
      <c r="G142">
        <v>60</v>
      </c>
    </row>
    <row r="143" spans="1:7" x14ac:dyDescent="0.25">
      <c r="A143">
        <v>142</v>
      </c>
      <c r="B143" t="s">
        <v>33</v>
      </c>
      <c r="C143" t="s">
        <v>31</v>
      </c>
      <c r="D143" t="s">
        <v>15</v>
      </c>
      <c r="E143">
        <v>2</v>
      </c>
      <c r="F143">
        <v>30</v>
      </c>
      <c r="G143">
        <v>60</v>
      </c>
    </row>
    <row r="144" spans="1:7" x14ac:dyDescent="0.25">
      <c r="A144">
        <v>143</v>
      </c>
      <c r="B144" t="s">
        <v>135</v>
      </c>
      <c r="C144" t="s">
        <v>11</v>
      </c>
      <c r="D144" t="s">
        <v>12</v>
      </c>
      <c r="E144">
        <v>3</v>
      </c>
      <c r="F144">
        <v>120</v>
      </c>
      <c r="G144">
        <v>360</v>
      </c>
    </row>
    <row r="145" spans="1:7" x14ac:dyDescent="0.25">
      <c r="A145">
        <v>144</v>
      </c>
      <c r="B145" t="s">
        <v>136</v>
      </c>
      <c r="C145" t="s">
        <v>35</v>
      </c>
      <c r="D145" t="s">
        <v>15</v>
      </c>
      <c r="E145">
        <v>2</v>
      </c>
      <c r="F145">
        <v>20</v>
      </c>
      <c r="G145">
        <v>40</v>
      </c>
    </row>
    <row r="146" spans="1:7" x14ac:dyDescent="0.25">
      <c r="A146">
        <v>145</v>
      </c>
      <c r="B146" t="s">
        <v>137</v>
      </c>
      <c r="C146" t="s">
        <v>19</v>
      </c>
      <c r="D146" t="s">
        <v>12</v>
      </c>
      <c r="E146">
        <v>2</v>
      </c>
      <c r="F146">
        <v>200</v>
      </c>
      <c r="G146">
        <v>400</v>
      </c>
    </row>
    <row r="147" spans="1:7" x14ac:dyDescent="0.25">
      <c r="A147">
        <v>146</v>
      </c>
      <c r="B147" t="s">
        <v>138</v>
      </c>
      <c r="C147" t="s">
        <v>19</v>
      </c>
      <c r="D147" t="s">
        <v>12</v>
      </c>
      <c r="E147">
        <v>3</v>
      </c>
      <c r="F147">
        <v>200</v>
      </c>
      <c r="G147">
        <v>600</v>
      </c>
    </row>
    <row r="148" spans="1:7" x14ac:dyDescent="0.25">
      <c r="A148">
        <v>147</v>
      </c>
      <c r="B148" t="s">
        <v>99</v>
      </c>
      <c r="C148" t="s">
        <v>27</v>
      </c>
      <c r="D148" t="s">
        <v>9</v>
      </c>
      <c r="E148">
        <v>2</v>
      </c>
      <c r="F148">
        <v>800</v>
      </c>
      <c r="G148">
        <v>1600</v>
      </c>
    </row>
    <row r="149" spans="1:7" x14ac:dyDescent="0.25">
      <c r="A149">
        <v>148</v>
      </c>
      <c r="B149" t="s">
        <v>114</v>
      </c>
      <c r="C149" t="s">
        <v>14</v>
      </c>
      <c r="D149" t="s">
        <v>15</v>
      </c>
      <c r="E149">
        <v>4</v>
      </c>
      <c r="F149">
        <v>50</v>
      </c>
      <c r="G149">
        <v>200</v>
      </c>
    </row>
    <row r="150" spans="1:7" x14ac:dyDescent="0.25">
      <c r="A150">
        <v>149</v>
      </c>
      <c r="B150" t="s">
        <v>112</v>
      </c>
      <c r="C150" t="s">
        <v>14</v>
      </c>
      <c r="D150" t="s">
        <v>15</v>
      </c>
      <c r="E150">
        <v>2</v>
      </c>
      <c r="F150">
        <v>50</v>
      </c>
      <c r="G150">
        <v>100</v>
      </c>
    </row>
    <row r="151" spans="1:7" x14ac:dyDescent="0.25">
      <c r="A151">
        <v>150</v>
      </c>
      <c r="B151" t="s">
        <v>139</v>
      </c>
      <c r="C151" t="s">
        <v>17</v>
      </c>
      <c r="D151" t="s">
        <v>9</v>
      </c>
      <c r="E151">
        <v>2</v>
      </c>
      <c r="F151">
        <v>500</v>
      </c>
      <c r="G151">
        <v>1000</v>
      </c>
    </row>
    <row r="152" spans="1:7" x14ac:dyDescent="0.25">
      <c r="A152">
        <v>151</v>
      </c>
      <c r="B152" t="s">
        <v>140</v>
      </c>
      <c r="C152" t="s">
        <v>14</v>
      </c>
      <c r="D152" t="s">
        <v>15</v>
      </c>
      <c r="E152">
        <v>3</v>
      </c>
      <c r="F152">
        <v>50</v>
      </c>
      <c r="G152">
        <v>150</v>
      </c>
    </row>
    <row r="153" spans="1:7" x14ac:dyDescent="0.25">
      <c r="A153">
        <v>152</v>
      </c>
      <c r="B153" t="s">
        <v>141</v>
      </c>
      <c r="C153" t="s">
        <v>14</v>
      </c>
      <c r="D153" t="s">
        <v>15</v>
      </c>
      <c r="E153">
        <v>1</v>
      </c>
      <c r="F153">
        <v>50</v>
      </c>
      <c r="G153">
        <v>50</v>
      </c>
    </row>
    <row r="154" spans="1:7" x14ac:dyDescent="0.25">
      <c r="A154">
        <v>153</v>
      </c>
      <c r="B154" t="s">
        <v>57</v>
      </c>
      <c r="C154" t="s">
        <v>27</v>
      </c>
      <c r="D154" t="s">
        <v>9</v>
      </c>
      <c r="E154">
        <v>2</v>
      </c>
      <c r="F154">
        <v>800</v>
      </c>
      <c r="G154">
        <v>1600</v>
      </c>
    </row>
    <row r="155" spans="1:7" x14ac:dyDescent="0.25">
      <c r="A155">
        <v>154</v>
      </c>
      <c r="B155" t="s">
        <v>105</v>
      </c>
      <c r="C155" t="s">
        <v>222</v>
      </c>
      <c r="D155" t="s">
        <v>15</v>
      </c>
      <c r="E155">
        <v>1</v>
      </c>
      <c r="F155">
        <v>30</v>
      </c>
      <c r="G155">
        <v>30</v>
      </c>
    </row>
    <row r="156" spans="1:7" x14ac:dyDescent="0.25">
      <c r="A156">
        <v>155</v>
      </c>
      <c r="B156" t="s">
        <v>63</v>
      </c>
      <c r="C156" t="s">
        <v>17</v>
      </c>
      <c r="D156" t="s">
        <v>9</v>
      </c>
      <c r="E156">
        <v>1</v>
      </c>
      <c r="G156">
        <v>500</v>
      </c>
    </row>
    <row r="157" spans="1:7" x14ac:dyDescent="0.25">
      <c r="A157">
        <v>156</v>
      </c>
      <c r="B157" t="s">
        <v>142</v>
      </c>
      <c r="C157" t="s">
        <v>27</v>
      </c>
      <c r="D157" t="s">
        <v>9</v>
      </c>
      <c r="E157">
        <v>3</v>
      </c>
      <c r="F157">
        <v>800</v>
      </c>
      <c r="G157">
        <v>2400</v>
      </c>
    </row>
    <row r="158" spans="1:7" x14ac:dyDescent="0.25">
      <c r="A158">
        <v>157</v>
      </c>
      <c r="B158" t="s">
        <v>143</v>
      </c>
      <c r="C158" t="s">
        <v>19</v>
      </c>
      <c r="D158" t="s">
        <v>12</v>
      </c>
      <c r="E158">
        <v>5</v>
      </c>
      <c r="F158">
        <v>200</v>
      </c>
      <c r="G158">
        <v>1000</v>
      </c>
    </row>
    <row r="159" spans="1:7" x14ac:dyDescent="0.25">
      <c r="A159">
        <v>158</v>
      </c>
      <c r="B159" t="s">
        <v>74</v>
      </c>
      <c r="C159" t="s">
        <v>14</v>
      </c>
      <c r="D159" t="s">
        <v>15</v>
      </c>
      <c r="E159">
        <v>5</v>
      </c>
      <c r="F159">
        <v>50</v>
      </c>
      <c r="G159">
        <v>250</v>
      </c>
    </row>
    <row r="160" spans="1:7" x14ac:dyDescent="0.25">
      <c r="A160">
        <v>159</v>
      </c>
      <c r="B160" t="s">
        <v>87</v>
      </c>
      <c r="C160" t="s">
        <v>19</v>
      </c>
      <c r="D160" t="s">
        <v>12</v>
      </c>
      <c r="E160">
        <v>1</v>
      </c>
      <c r="F160">
        <v>200</v>
      </c>
      <c r="G160">
        <v>200</v>
      </c>
    </row>
    <row r="161" spans="1:7" x14ac:dyDescent="0.25">
      <c r="A161">
        <v>160</v>
      </c>
      <c r="B161" t="s">
        <v>144</v>
      </c>
      <c r="C161" t="s">
        <v>19</v>
      </c>
      <c r="D161" t="s">
        <v>12</v>
      </c>
      <c r="E161">
        <v>5</v>
      </c>
      <c r="F161">
        <v>200</v>
      </c>
      <c r="G161">
        <v>1000</v>
      </c>
    </row>
    <row r="162" spans="1:7" x14ac:dyDescent="0.25">
      <c r="A162">
        <v>161</v>
      </c>
      <c r="B162" t="s">
        <v>145</v>
      </c>
      <c r="C162" t="s">
        <v>14</v>
      </c>
      <c r="D162" t="s">
        <v>15</v>
      </c>
      <c r="E162">
        <v>4</v>
      </c>
      <c r="F162">
        <v>50</v>
      </c>
      <c r="G162">
        <v>200</v>
      </c>
    </row>
    <row r="163" spans="1:7" x14ac:dyDescent="0.25">
      <c r="A163">
        <v>162</v>
      </c>
      <c r="B163" t="s">
        <v>146</v>
      </c>
      <c r="C163" t="s">
        <v>19</v>
      </c>
      <c r="D163" t="s">
        <v>12</v>
      </c>
      <c r="E163">
        <v>3</v>
      </c>
      <c r="F163">
        <v>200</v>
      </c>
      <c r="G163">
        <v>600</v>
      </c>
    </row>
    <row r="164" spans="1:7" x14ac:dyDescent="0.25">
      <c r="A164">
        <v>163</v>
      </c>
      <c r="B164" t="s">
        <v>100</v>
      </c>
      <c r="C164" t="s">
        <v>17</v>
      </c>
      <c r="D164" t="s">
        <v>9</v>
      </c>
      <c r="E164">
        <v>3</v>
      </c>
      <c r="F164">
        <v>500</v>
      </c>
      <c r="G164">
        <v>1500</v>
      </c>
    </row>
    <row r="165" spans="1:7" x14ac:dyDescent="0.25">
      <c r="A165">
        <v>164</v>
      </c>
      <c r="B165" t="s">
        <v>147</v>
      </c>
      <c r="C165" t="s">
        <v>35</v>
      </c>
      <c r="D165" t="s">
        <v>15</v>
      </c>
      <c r="E165">
        <v>2</v>
      </c>
      <c r="F165">
        <v>20</v>
      </c>
      <c r="G165">
        <v>40</v>
      </c>
    </row>
    <row r="166" spans="1:7" x14ac:dyDescent="0.25">
      <c r="A166">
        <v>165</v>
      </c>
      <c r="B166" t="s">
        <v>148</v>
      </c>
      <c r="C166" t="s">
        <v>35</v>
      </c>
      <c r="D166" t="s">
        <v>15</v>
      </c>
      <c r="E166">
        <v>5</v>
      </c>
      <c r="F166">
        <v>20</v>
      </c>
      <c r="G166">
        <v>100</v>
      </c>
    </row>
    <row r="167" spans="1:7" x14ac:dyDescent="0.25">
      <c r="A167">
        <v>166</v>
      </c>
      <c r="B167" t="s">
        <v>149</v>
      </c>
      <c r="C167" t="s">
        <v>19</v>
      </c>
      <c r="D167" t="s">
        <v>12</v>
      </c>
      <c r="E167">
        <v>5</v>
      </c>
      <c r="F167">
        <v>200</v>
      </c>
      <c r="G167">
        <v>1000</v>
      </c>
    </row>
    <row r="168" spans="1:7" x14ac:dyDescent="0.25">
      <c r="A168">
        <v>167</v>
      </c>
      <c r="B168" t="s">
        <v>150</v>
      </c>
      <c r="C168" t="s">
        <v>19</v>
      </c>
      <c r="D168" t="s">
        <v>12</v>
      </c>
      <c r="E168">
        <v>5</v>
      </c>
      <c r="F168">
        <v>200</v>
      </c>
      <c r="G168">
        <v>1000</v>
      </c>
    </row>
    <row r="169" spans="1:7" x14ac:dyDescent="0.25">
      <c r="A169">
        <v>168</v>
      </c>
      <c r="B169" t="s">
        <v>118</v>
      </c>
      <c r="C169" t="s">
        <v>11</v>
      </c>
      <c r="D169" t="s">
        <v>12</v>
      </c>
      <c r="E169">
        <v>2</v>
      </c>
      <c r="F169">
        <v>120</v>
      </c>
      <c r="G169">
        <v>240</v>
      </c>
    </row>
    <row r="170" spans="1:7" x14ac:dyDescent="0.25">
      <c r="A170">
        <v>169</v>
      </c>
      <c r="B170" t="s">
        <v>123</v>
      </c>
      <c r="C170" t="s">
        <v>14</v>
      </c>
      <c r="D170" t="s">
        <v>15</v>
      </c>
      <c r="E170">
        <v>2</v>
      </c>
      <c r="F170">
        <v>50</v>
      </c>
      <c r="G170">
        <v>100</v>
      </c>
    </row>
    <row r="171" spans="1:7" x14ac:dyDescent="0.25">
      <c r="A171">
        <v>170</v>
      </c>
      <c r="B171" t="s">
        <v>151</v>
      </c>
      <c r="C171" t="s">
        <v>14</v>
      </c>
      <c r="D171" t="s">
        <v>15</v>
      </c>
      <c r="E171">
        <v>2</v>
      </c>
      <c r="F171">
        <v>50</v>
      </c>
      <c r="G171">
        <v>100</v>
      </c>
    </row>
    <row r="172" spans="1:7" x14ac:dyDescent="0.25">
      <c r="A172">
        <v>171</v>
      </c>
      <c r="B172" t="s">
        <v>152</v>
      </c>
      <c r="C172" t="s">
        <v>17</v>
      </c>
      <c r="D172" t="s">
        <v>9</v>
      </c>
      <c r="E172">
        <v>3</v>
      </c>
      <c r="F172">
        <v>500</v>
      </c>
      <c r="G172">
        <v>1500</v>
      </c>
    </row>
    <row r="173" spans="1:7" x14ac:dyDescent="0.25">
      <c r="A173">
        <v>172</v>
      </c>
      <c r="B173" t="s">
        <v>7</v>
      </c>
      <c r="C173" t="s">
        <v>14</v>
      </c>
      <c r="D173" t="s">
        <v>15</v>
      </c>
      <c r="E173">
        <v>4</v>
      </c>
      <c r="F173">
        <v>50</v>
      </c>
      <c r="G173">
        <v>200</v>
      </c>
    </row>
    <row r="174" spans="1:7" x14ac:dyDescent="0.25">
      <c r="A174">
        <v>173</v>
      </c>
      <c r="B174" t="s">
        <v>153</v>
      </c>
      <c r="C174" t="s">
        <v>35</v>
      </c>
      <c r="D174" t="s">
        <v>15</v>
      </c>
      <c r="E174">
        <v>4</v>
      </c>
      <c r="F174">
        <v>20</v>
      </c>
      <c r="G174">
        <v>80</v>
      </c>
    </row>
    <row r="175" spans="1:7" x14ac:dyDescent="0.25">
      <c r="A175">
        <v>174</v>
      </c>
      <c r="B175" t="s">
        <v>154</v>
      </c>
      <c r="C175" t="s">
        <v>14</v>
      </c>
      <c r="D175" t="s">
        <v>15</v>
      </c>
      <c r="E175">
        <v>1</v>
      </c>
      <c r="F175">
        <v>50</v>
      </c>
      <c r="G175">
        <v>50</v>
      </c>
    </row>
    <row r="176" spans="1:7" x14ac:dyDescent="0.25">
      <c r="A176">
        <v>175</v>
      </c>
      <c r="B176" t="s">
        <v>155</v>
      </c>
      <c r="C176" t="s">
        <v>11</v>
      </c>
      <c r="D176" t="s">
        <v>12</v>
      </c>
      <c r="E176">
        <v>2</v>
      </c>
      <c r="F176">
        <v>120</v>
      </c>
      <c r="G176">
        <v>240</v>
      </c>
    </row>
    <row r="177" spans="1:7" x14ac:dyDescent="0.25">
      <c r="A177">
        <v>176</v>
      </c>
      <c r="B177" t="s">
        <v>156</v>
      </c>
      <c r="C177" t="s">
        <v>27</v>
      </c>
      <c r="D177" t="s">
        <v>9</v>
      </c>
      <c r="E177">
        <v>2</v>
      </c>
      <c r="F177">
        <v>800</v>
      </c>
      <c r="G177">
        <v>1600</v>
      </c>
    </row>
    <row r="178" spans="1:7" x14ac:dyDescent="0.25">
      <c r="A178">
        <v>177</v>
      </c>
      <c r="B178" t="s">
        <v>157</v>
      </c>
      <c r="C178" t="s">
        <v>17</v>
      </c>
      <c r="D178" t="s">
        <v>9</v>
      </c>
      <c r="E178">
        <v>4</v>
      </c>
      <c r="F178">
        <v>500</v>
      </c>
      <c r="G178">
        <v>2000</v>
      </c>
    </row>
    <row r="179" spans="1:7" x14ac:dyDescent="0.25">
      <c r="A179">
        <v>178</v>
      </c>
      <c r="B179" t="s">
        <v>155</v>
      </c>
      <c r="C179" t="s">
        <v>17</v>
      </c>
      <c r="D179" t="s">
        <v>9</v>
      </c>
      <c r="E179">
        <v>4</v>
      </c>
      <c r="F179">
        <v>500</v>
      </c>
      <c r="G179">
        <v>2000</v>
      </c>
    </row>
    <row r="180" spans="1:7" x14ac:dyDescent="0.25">
      <c r="A180">
        <v>179</v>
      </c>
      <c r="B180" t="s">
        <v>53</v>
      </c>
      <c r="C180" t="s">
        <v>19</v>
      </c>
      <c r="D180" t="s">
        <v>12</v>
      </c>
      <c r="E180">
        <v>2</v>
      </c>
      <c r="F180">
        <v>200</v>
      </c>
      <c r="G180">
        <v>400</v>
      </c>
    </row>
    <row r="181" spans="1:7" x14ac:dyDescent="0.25">
      <c r="A181">
        <v>180</v>
      </c>
      <c r="B181" t="s">
        <v>158</v>
      </c>
      <c r="C181" t="s">
        <v>14</v>
      </c>
      <c r="D181" t="s">
        <v>15</v>
      </c>
      <c r="E181">
        <v>1</v>
      </c>
      <c r="F181">
        <v>50</v>
      </c>
      <c r="G181">
        <v>50</v>
      </c>
    </row>
    <row r="182" spans="1:7" x14ac:dyDescent="0.25">
      <c r="A182">
        <v>181</v>
      </c>
      <c r="B182" t="s">
        <v>159</v>
      </c>
      <c r="C182" t="s">
        <v>19</v>
      </c>
      <c r="D182" t="s">
        <v>12</v>
      </c>
      <c r="E182">
        <v>3</v>
      </c>
      <c r="F182">
        <v>200</v>
      </c>
      <c r="G182">
        <v>600</v>
      </c>
    </row>
    <row r="183" spans="1:7" x14ac:dyDescent="0.25">
      <c r="A183">
        <v>182</v>
      </c>
      <c r="B183" t="s">
        <v>160</v>
      </c>
      <c r="C183" t="s">
        <v>31</v>
      </c>
      <c r="D183" t="s">
        <v>15</v>
      </c>
      <c r="E183">
        <v>1</v>
      </c>
      <c r="F183">
        <v>30</v>
      </c>
      <c r="G183">
        <v>30</v>
      </c>
    </row>
    <row r="184" spans="1:7" x14ac:dyDescent="0.25">
      <c r="A184">
        <v>183</v>
      </c>
      <c r="B184" t="s">
        <v>140</v>
      </c>
      <c r="C184" t="s">
        <v>11</v>
      </c>
      <c r="D184" t="s">
        <v>12</v>
      </c>
      <c r="E184">
        <v>1</v>
      </c>
      <c r="F184">
        <v>120</v>
      </c>
      <c r="G184">
        <v>120</v>
      </c>
    </row>
    <row r="185" spans="1:7" x14ac:dyDescent="0.25">
      <c r="A185">
        <v>184</v>
      </c>
      <c r="B185" t="s">
        <v>161</v>
      </c>
      <c r="C185" t="s">
        <v>17</v>
      </c>
      <c r="D185" t="s">
        <v>9</v>
      </c>
      <c r="E185">
        <v>2</v>
      </c>
      <c r="F185">
        <v>500</v>
      </c>
      <c r="G185">
        <v>1000</v>
      </c>
    </row>
    <row r="186" spans="1:7" x14ac:dyDescent="0.25">
      <c r="A186">
        <v>185</v>
      </c>
      <c r="B186" t="s">
        <v>162</v>
      </c>
      <c r="C186" t="s">
        <v>31</v>
      </c>
      <c r="D186" t="s">
        <v>15</v>
      </c>
      <c r="E186">
        <v>4</v>
      </c>
      <c r="F186">
        <v>30</v>
      </c>
      <c r="G186">
        <v>120</v>
      </c>
    </row>
    <row r="187" spans="1:7" x14ac:dyDescent="0.25">
      <c r="A187">
        <v>186</v>
      </c>
      <c r="B187" t="s">
        <v>101</v>
      </c>
      <c r="C187" t="s">
        <v>27</v>
      </c>
      <c r="D187" t="s">
        <v>9</v>
      </c>
      <c r="E187">
        <v>5</v>
      </c>
      <c r="F187">
        <v>800</v>
      </c>
      <c r="G187">
        <v>4000</v>
      </c>
    </row>
    <row r="188" spans="1:7" x14ac:dyDescent="0.25">
      <c r="A188">
        <v>187</v>
      </c>
      <c r="B188" t="s">
        <v>95</v>
      </c>
      <c r="C188" t="s">
        <v>17</v>
      </c>
      <c r="D188" t="s">
        <v>9</v>
      </c>
      <c r="E188">
        <v>4</v>
      </c>
      <c r="F188">
        <v>500</v>
      </c>
      <c r="G188">
        <v>2000</v>
      </c>
    </row>
    <row r="189" spans="1:7" x14ac:dyDescent="0.25">
      <c r="A189">
        <v>188</v>
      </c>
      <c r="B189" t="s">
        <v>118</v>
      </c>
      <c r="C189" t="s">
        <v>14</v>
      </c>
      <c r="D189" t="s">
        <v>15</v>
      </c>
      <c r="E189">
        <v>4</v>
      </c>
      <c r="F189">
        <v>50</v>
      </c>
      <c r="G189">
        <v>200</v>
      </c>
    </row>
    <row r="190" spans="1:7" x14ac:dyDescent="0.25">
      <c r="A190">
        <v>189</v>
      </c>
      <c r="B190" t="s">
        <v>69</v>
      </c>
      <c r="C190" t="s">
        <v>19</v>
      </c>
      <c r="D190" t="s">
        <v>12</v>
      </c>
      <c r="E190">
        <v>5</v>
      </c>
      <c r="F190">
        <v>200</v>
      </c>
      <c r="G190">
        <v>1000</v>
      </c>
    </row>
    <row r="191" spans="1:7" x14ac:dyDescent="0.25">
      <c r="A191">
        <v>190</v>
      </c>
      <c r="B191" t="s">
        <v>163</v>
      </c>
      <c r="C191" t="s">
        <v>8</v>
      </c>
      <c r="D191" t="s">
        <v>9</v>
      </c>
      <c r="E191">
        <v>3</v>
      </c>
      <c r="F191">
        <v>300</v>
      </c>
      <c r="G191">
        <v>900</v>
      </c>
    </row>
    <row r="192" spans="1:7" x14ac:dyDescent="0.25">
      <c r="A192">
        <v>191</v>
      </c>
      <c r="B192" t="s">
        <v>21</v>
      </c>
      <c r="C192" t="s">
        <v>8</v>
      </c>
      <c r="D192" t="s">
        <v>9</v>
      </c>
      <c r="E192">
        <v>3</v>
      </c>
      <c r="F192">
        <v>300</v>
      </c>
      <c r="G192">
        <v>900</v>
      </c>
    </row>
    <row r="193" spans="1:7" x14ac:dyDescent="0.25">
      <c r="A193">
        <v>192</v>
      </c>
      <c r="B193" t="s">
        <v>164</v>
      </c>
      <c r="C193" t="s">
        <v>8</v>
      </c>
      <c r="D193" t="s">
        <v>9</v>
      </c>
      <c r="E193">
        <v>2</v>
      </c>
      <c r="G193">
        <v>600</v>
      </c>
    </row>
    <row r="194" spans="1:7" x14ac:dyDescent="0.25">
      <c r="A194">
        <v>193</v>
      </c>
      <c r="B194" t="s">
        <v>165</v>
      </c>
      <c r="C194" t="s">
        <v>17</v>
      </c>
      <c r="D194" t="s">
        <v>9</v>
      </c>
      <c r="E194">
        <v>1</v>
      </c>
      <c r="F194">
        <v>500</v>
      </c>
      <c r="G194">
        <v>500</v>
      </c>
    </row>
    <row r="195" spans="1:7" x14ac:dyDescent="0.25">
      <c r="A195">
        <v>194</v>
      </c>
      <c r="B195" t="s">
        <v>73</v>
      </c>
      <c r="C195" t="s">
        <v>17</v>
      </c>
      <c r="D195" t="s">
        <v>9</v>
      </c>
      <c r="E195">
        <v>1</v>
      </c>
      <c r="F195">
        <v>500</v>
      </c>
      <c r="G195">
        <v>500</v>
      </c>
    </row>
    <row r="196" spans="1:7" x14ac:dyDescent="0.25">
      <c r="A196">
        <v>195</v>
      </c>
      <c r="B196" t="s">
        <v>166</v>
      </c>
      <c r="C196" t="s">
        <v>8</v>
      </c>
      <c r="D196" t="s">
        <v>9</v>
      </c>
      <c r="E196">
        <v>5</v>
      </c>
      <c r="F196">
        <v>300</v>
      </c>
      <c r="G196">
        <v>1500</v>
      </c>
    </row>
    <row r="197" spans="1:7" x14ac:dyDescent="0.25">
      <c r="A197">
        <v>196</v>
      </c>
      <c r="B197" t="s">
        <v>86</v>
      </c>
      <c r="C197" t="s">
        <v>11</v>
      </c>
      <c r="D197" t="s">
        <v>12</v>
      </c>
      <c r="E197">
        <v>1</v>
      </c>
      <c r="F197">
        <v>120</v>
      </c>
      <c r="G197">
        <v>120</v>
      </c>
    </row>
    <row r="198" spans="1:7" x14ac:dyDescent="0.25">
      <c r="A198">
        <v>197</v>
      </c>
      <c r="B198" t="s">
        <v>26</v>
      </c>
      <c r="C198" t="s">
        <v>8</v>
      </c>
      <c r="D198" t="s">
        <v>9</v>
      </c>
      <c r="E198">
        <v>3</v>
      </c>
      <c r="F198">
        <v>300</v>
      </c>
      <c r="G198">
        <v>900</v>
      </c>
    </row>
    <row r="199" spans="1:7" x14ac:dyDescent="0.25">
      <c r="A199">
        <v>198</v>
      </c>
      <c r="B199" t="s">
        <v>167</v>
      </c>
      <c r="C199" t="s">
        <v>35</v>
      </c>
      <c r="D199" t="s">
        <v>15</v>
      </c>
      <c r="E199">
        <v>3</v>
      </c>
      <c r="F199">
        <v>20</v>
      </c>
      <c r="G199">
        <v>60</v>
      </c>
    </row>
    <row r="200" spans="1:7" x14ac:dyDescent="0.25">
      <c r="A200">
        <v>199</v>
      </c>
      <c r="B200" t="s">
        <v>144</v>
      </c>
      <c r="C200" t="s">
        <v>35</v>
      </c>
      <c r="D200" t="s">
        <v>15</v>
      </c>
      <c r="E200">
        <v>2</v>
      </c>
      <c r="F200">
        <v>20</v>
      </c>
      <c r="G200">
        <v>40</v>
      </c>
    </row>
    <row r="201" spans="1:7" x14ac:dyDescent="0.25">
      <c r="A201">
        <v>200</v>
      </c>
      <c r="B201" t="s">
        <v>168</v>
      </c>
      <c r="C201" t="s">
        <v>19</v>
      </c>
      <c r="D201" t="s">
        <v>12</v>
      </c>
      <c r="E201">
        <v>5</v>
      </c>
      <c r="F201">
        <v>200</v>
      </c>
      <c r="G201">
        <v>1000</v>
      </c>
    </row>
    <row r="202" spans="1:7" x14ac:dyDescent="0.25">
      <c r="A202">
        <v>201</v>
      </c>
      <c r="B202" t="s">
        <v>169</v>
      </c>
      <c r="C202" t="s">
        <v>226</v>
      </c>
      <c r="D202" t="s">
        <v>9</v>
      </c>
      <c r="E202">
        <v>2</v>
      </c>
      <c r="F202">
        <v>800</v>
      </c>
      <c r="G202">
        <v>1600</v>
      </c>
    </row>
    <row r="203" spans="1:7" x14ac:dyDescent="0.25">
      <c r="A203">
        <v>202</v>
      </c>
      <c r="B203" t="s">
        <v>170</v>
      </c>
      <c r="C203" t="s">
        <v>31</v>
      </c>
      <c r="D203" t="s">
        <v>15</v>
      </c>
      <c r="E203">
        <v>5</v>
      </c>
      <c r="F203">
        <v>30</v>
      </c>
      <c r="G203">
        <v>150</v>
      </c>
    </row>
    <row r="204" spans="1:7" x14ac:dyDescent="0.25">
      <c r="A204">
        <v>203</v>
      </c>
      <c r="B204" t="s">
        <v>114</v>
      </c>
      <c r="C204" t="s">
        <v>27</v>
      </c>
      <c r="D204" t="s">
        <v>9</v>
      </c>
      <c r="E204">
        <v>3</v>
      </c>
      <c r="F204">
        <v>800</v>
      </c>
      <c r="G204">
        <v>2400</v>
      </c>
    </row>
    <row r="205" spans="1:7" x14ac:dyDescent="0.25">
      <c r="A205">
        <v>204</v>
      </c>
      <c r="B205" t="s">
        <v>85</v>
      </c>
      <c r="C205" t="s">
        <v>8</v>
      </c>
      <c r="D205" t="s">
        <v>9</v>
      </c>
      <c r="E205">
        <v>4</v>
      </c>
      <c r="F205">
        <v>300</v>
      </c>
      <c r="G205">
        <v>1200</v>
      </c>
    </row>
    <row r="206" spans="1:7" x14ac:dyDescent="0.25">
      <c r="A206">
        <v>205</v>
      </c>
      <c r="B206" t="s">
        <v>95</v>
      </c>
      <c r="C206" t="s">
        <v>19</v>
      </c>
      <c r="D206" t="s">
        <v>12</v>
      </c>
      <c r="E206">
        <v>1</v>
      </c>
      <c r="F206">
        <v>200</v>
      </c>
      <c r="G206">
        <v>200</v>
      </c>
    </row>
    <row r="207" spans="1:7" x14ac:dyDescent="0.25">
      <c r="A207">
        <v>206</v>
      </c>
      <c r="B207" t="s">
        <v>75</v>
      </c>
      <c r="C207" t="s">
        <v>35</v>
      </c>
      <c r="D207" t="s">
        <v>15</v>
      </c>
      <c r="E207">
        <v>4</v>
      </c>
      <c r="F207">
        <v>20</v>
      </c>
      <c r="G207">
        <v>80</v>
      </c>
    </row>
    <row r="208" spans="1:7" x14ac:dyDescent="0.25">
      <c r="A208">
        <v>207</v>
      </c>
      <c r="B208" t="s">
        <v>171</v>
      </c>
      <c r="C208" t="s">
        <v>27</v>
      </c>
      <c r="D208" t="s">
        <v>9</v>
      </c>
      <c r="E208">
        <v>5</v>
      </c>
      <c r="F208">
        <v>800</v>
      </c>
      <c r="G208">
        <v>4000</v>
      </c>
    </row>
    <row r="209" spans="1:7" x14ac:dyDescent="0.25">
      <c r="A209">
        <v>208</v>
      </c>
      <c r="B209" t="s">
        <v>159</v>
      </c>
      <c r="C209" t="s">
        <v>19</v>
      </c>
      <c r="D209" t="s">
        <v>12</v>
      </c>
      <c r="E209">
        <v>5</v>
      </c>
      <c r="F209">
        <v>200</v>
      </c>
      <c r="G209">
        <v>1000</v>
      </c>
    </row>
    <row r="210" spans="1:7" x14ac:dyDescent="0.25">
      <c r="A210">
        <v>209</v>
      </c>
      <c r="B210" t="s">
        <v>152</v>
      </c>
      <c r="C210" t="s">
        <v>35</v>
      </c>
      <c r="D210" t="s">
        <v>15</v>
      </c>
      <c r="E210">
        <v>1</v>
      </c>
      <c r="F210">
        <v>20</v>
      </c>
      <c r="G210">
        <v>20</v>
      </c>
    </row>
    <row r="211" spans="1:7" x14ac:dyDescent="0.25">
      <c r="A211">
        <v>210</v>
      </c>
      <c r="B211" t="s">
        <v>172</v>
      </c>
      <c r="C211" t="s">
        <v>35</v>
      </c>
      <c r="D211" t="s">
        <v>15</v>
      </c>
      <c r="E211">
        <v>3</v>
      </c>
      <c r="F211">
        <v>20</v>
      </c>
      <c r="G211">
        <v>60</v>
      </c>
    </row>
    <row r="212" spans="1:7" x14ac:dyDescent="0.25">
      <c r="A212">
        <v>211</v>
      </c>
      <c r="B212" t="s">
        <v>129</v>
      </c>
      <c r="C212" t="s">
        <v>35</v>
      </c>
      <c r="D212" t="s">
        <v>15</v>
      </c>
      <c r="E212">
        <v>4</v>
      </c>
      <c r="F212">
        <v>20</v>
      </c>
      <c r="G212">
        <v>80</v>
      </c>
    </row>
    <row r="213" spans="1:7" x14ac:dyDescent="0.25">
      <c r="A213">
        <v>212</v>
      </c>
      <c r="B213" t="s">
        <v>173</v>
      </c>
      <c r="C213" t="s">
        <v>14</v>
      </c>
      <c r="D213" t="s">
        <v>15</v>
      </c>
      <c r="E213">
        <v>1</v>
      </c>
      <c r="F213">
        <v>50</v>
      </c>
      <c r="G213">
        <v>50</v>
      </c>
    </row>
    <row r="214" spans="1:7" x14ac:dyDescent="0.25">
      <c r="A214">
        <v>213</v>
      </c>
      <c r="B214" t="s">
        <v>174</v>
      </c>
      <c r="C214" t="s">
        <v>17</v>
      </c>
      <c r="D214" t="s">
        <v>9</v>
      </c>
      <c r="E214">
        <v>1</v>
      </c>
      <c r="F214">
        <v>500</v>
      </c>
      <c r="G214">
        <v>500</v>
      </c>
    </row>
    <row r="215" spans="1:7" x14ac:dyDescent="0.25">
      <c r="A215">
        <v>214</v>
      </c>
      <c r="B215" t="s">
        <v>85</v>
      </c>
      <c r="C215" t="s">
        <v>31</v>
      </c>
      <c r="D215" t="s">
        <v>15</v>
      </c>
      <c r="E215">
        <v>1</v>
      </c>
      <c r="F215">
        <v>30</v>
      </c>
      <c r="G215">
        <v>30</v>
      </c>
    </row>
    <row r="216" spans="1:7" x14ac:dyDescent="0.25">
      <c r="A216">
        <v>215</v>
      </c>
      <c r="B216" t="s">
        <v>175</v>
      </c>
      <c r="C216" t="s">
        <v>11</v>
      </c>
      <c r="D216" t="s">
        <v>12</v>
      </c>
      <c r="E216">
        <v>4</v>
      </c>
      <c r="G216">
        <v>480</v>
      </c>
    </row>
    <row r="217" spans="1:7" x14ac:dyDescent="0.25">
      <c r="A217">
        <v>216</v>
      </c>
      <c r="B217" t="s">
        <v>164</v>
      </c>
      <c r="C217" t="s">
        <v>11</v>
      </c>
      <c r="D217" t="s">
        <v>12</v>
      </c>
      <c r="E217">
        <v>5</v>
      </c>
      <c r="F217">
        <v>120</v>
      </c>
      <c r="G217">
        <v>600</v>
      </c>
    </row>
    <row r="218" spans="1:7" x14ac:dyDescent="0.25">
      <c r="A218">
        <v>217</v>
      </c>
      <c r="B218" t="s">
        <v>172</v>
      </c>
      <c r="C218" t="s">
        <v>31</v>
      </c>
      <c r="D218" t="s">
        <v>15</v>
      </c>
      <c r="E218">
        <v>1</v>
      </c>
      <c r="F218">
        <v>30</v>
      </c>
      <c r="G218">
        <v>30</v>
      </c>
    </row>
    <row r="219" spans="1:7" x14ac:dyDescent="0.25">
      <c r="A219">
        <v>218</v>
      </c>
      <c r="B219" t="s">
        <v>176</v>
      </c>
      <c r="C219" t="s">
        <v>35</v>
      </c>
      <c r="D219" t="s">
        <v>15</v>
      </c>
      <c r="E219">
        <v>5</v>
      </c>
      <c r="F219">
        <v>20</v>
      </c>
      <c r="G219">
        <v>100</v>
      </c>
    </row>
    <row r="220" spans="1:7" x14ac:dyDescent="0.25">
      <c r="A220">
        <v>219</v>
      </c>
      <c r="B220" t="s">
        <v>177</v>
      </c>
      <c r="C220" t="s">
        <v>19</v>
      </c>
      <c r="D220" t="s">
        <v>12</v>
      </c>
      <c r="E220">
        <v>1</v>
      </c>
      <c r="F220">
        <v>200</v>
      </c>
      <c r="G220">
        <v>200</v>
      </c>
    </row>
    <row r="221" spans="1:7" x14ac:dyDescent="0.25">
      <c r="A221">
        <v>220</v>
      </c>
      <c r="B221" t="s">
        <v>178</v>
      </c>
      <c r="C221" t="s">
        <v>223</v>
      </c>
      <c r="D221" t="s">
        <v>15</v>
      </c>
      <c r="E221">
        <v>1</v>
      </c>
      <c r="F221">
        <v>20</v>
      </c>
      <c r="G221">
        <v>20</v>
      </c>
    </row>
    <row r="222" spans="1:7" x14ac:dyDescent="0.25">
      <c r="A222">
        <v>221</v>
      </c>
      <c r="B222" t="s">
        <v>179</v>
      </c>
      <c r="C222" t="s">
        <v>14</v>
      </c>
      <c r="D222" t="s">
        <v>15</v>
      </c>
      <c r="E222">
        <v>4</v>
      </c>
      <c r="F222">
        <v>50</v>
      </c>
      <c r="G222">
        <v>200</v>
      </c>
    </row>
    <row r="223" spans="1:7" x14ac:dyDescent="0.25">
      <c r="A223">
        <v>222</v>
      </c>
      <c r="B223" t="s">
        <v>151</v>
      </c>
      <c r="C223" t="s">
        <v>14</v>
      </c>
      <c r="D223" t="s">
        <v>15</v>
      </c>
      <c r="E223">
        <v>3</v>
      </c>
      <c r="F223">
        <v>50</v>
      </c>
      <c r="G223">
        <v>150</v>
      </c>
    </row>
    <row r="224" spans="1:7" x14ac:dyDescent="0.25">
      <c r="A224">
        <v>223</v>
      </c>
      <c r="B224" t="s">
        <v>180</v>
      </c>
      <c r="C224" t="s">
        <v>8</v>
      </c>
      <c r="D224" t="s">
        <v>9</v>
      </c>
      <c r="E224">
        <v>4</v>
      </c>
      <c r="F224">
        <v>300</v>
      </c>
      <c r="G224">
        <v>1200</v>
      </c>
    </row>
    <row r="225" spans="1:7" x14ac:dyDescent="0.25">
      <c r="A225">
        <v>224</v>
      </c>
      <c r="B225" t="s">
        <v>85</v>
      </c>
      <c r="C225" t="s">
        <v>17</v>
      </c>
      <c r="D225" t="s">
        <v>9</v>
      </c>
      <c r="E225">
        <v>2</v>
      </c>
      <c r="F225">
        <v>500</v>
      </c>
      <c r="G225">
        <v>1000</v>
      </c>
    </row>
    <row r="226" spans="1:7" x14ac:dyDescent="0.25">
      <c r="A226">
        <v>225</v>
      </c>
      <c r="B226" t="s">
        <v>181</v>
      </c>
      <c r="C226" t="s">
        <v>11</v>
      </c>
      <c r="D226" t="s">
        <v>12</v>
      </c>
      <c r="E226">
        <v>4</v>
      </c>
      <c r="F226">
        <v>120</v>
      </c>
      <c r="G226">
        <v>480</v>
      </c>
    </row>
    <row r="227" spans="1:7" x14ac:dyDescent="0.25">
      <c r="A227">
        <v>226</v>
      </c>
      <c r="B227" t="s">
        <v>48</v>
      </c>
      <c r="C227" t="s">
        <v>14</v>
      </c>
      <c r="D227" t="s">
        <v>15</v>
      </c>
      <c r="E227">
        <v>5</v>
      </c>
      <c r="F227">
        <v>50</v>
      </c>
      <c r="G227">
        <v>250</v>
      </c>
    </row>
    <row r="228" spans="1:7" x14ac:dyDescent="0.25">
      <c r="A228">
        <v>227</v>
      </c>
      <c r="B228" t="s">
        <v>154</v>
      </c>
      <c r="C228" t="s">
        <v>35</v>
      </c>
      <c r="D228" t="s">
        <v>15</v>
      </c>
      <c r="E228">
        <v>2</v>
      </c>
      <c r="F228">
        <v>20</v>
      </c>
      <c r="G228">
        <v>40</v>
      </c>
    </row>
    <row r="229" spans="1:7" x14ac:dyDescent="0.25">
      <c r="A229">
        <v>228</v>
      </c>
      <c r="B229" t="s">
        <v>90</v>
      </c>
      <c r="C229" t="s">
        <v>35</v>
      </c>
      <c r="D229" t="s">
        <v>15</v>
      </c>
      <c r="E229">
        <v>3</v>
      </c>
      <c r="F229">
        <v>20</v>
      </c>
      <c r="G229">
        <v>60</v>
      </c>
    </row>
    <row r="230" spans="1:7" x14ac:dyDescent="0.25">
      <c r="A230">
        <v>229</v>
      </c>
      <c r="B230" t="s">
        <v>106</v>
      </c>
      <c r="C230" t="s">
        <v>31</v>
      </c>
      <c r="D230" t="s">
        <v>15</v>
      </c>
      <c r="E230">
        <v>4</v>
      </c>
      <c r="F230">
        <v>30</v>
      </c>
      <c r="G230">
        <v>120</v>
      </c>
    </row>
    <row r="231" spans="1:7" x14ac:dyDescent="0.25">
      <c r="A231">
        <v>230</v>
      </c>
      <c r="B231" t="s">
        <v>161</v>
      </c>
      <c r="C231" t="s">
        <v>8</v>
      </c>
      <c r="D231" t="s">
        <v>9</v>
      </c>
      <c r="E231">
        <v>3</v>
      </c>
      <c r="F231">
        <v>300</v>
      </c>
      <c r="G231">
        <v>900</v>
      </c>
    </row>
    <row r="232" spans="1:7" x14ac:dyDescent="0.25">
      <c r="A232">
        <v>231</v>
      </c>
      <c r="B232" t="s">
        <v>10</v>
      </c>
      <c r="C232" t="s">
        <v>19</v>
      </c>
      <c r="D232" t="s">
        <v>12</v>
      </c>
      <c r="E232">
        <v>4</v>
      </c>
      <c r="F232">
        <v>200</v>
      </c>
      <c r="G232">
        <v>800</v>
      </c>
    </row>
    <row r="233" spans="1:7" x14ac:dyDescent="0.25">
      <c r="A233">
        <v>232</v>
      </c>
      <c r="B233" t="s">
        <v>182</v>
      </c>
      <c r="C233" t="s">
        <v>224</v>
      </c>
      <c r="D233" t="s">
        <v>9</v>
      </c>
      <c r="E233">
        <v>1</v>
      </c>
      <c r="F233">
        <v>300</v>
      </c>
      <c r="G233">
        <v>300</v>
      </c>
    </row>
    <row r="234" spans="1:7" x14ac:dyDescent="0.25">
      <c r="A234">
        <v>233</v>
      </c>
      <c r="B234" t="s">
        <v>96</v>
      </c>
      <c r="C234" t="s">
        <v>27</v>
      </c>
      <c r="D234" t="s">
        <v>9</v>
      </c>
      <c r="E234">
        <v>3</v>
      </c>
      <c r="F234">
        <v>800</v>
      </c>
      <c r="G234">
        <v>2400</v>
      </c>
    </row>
    <row r="235" spans="1:7" x14ac:dyDescent="0.25">
      <c r="A235">
        <v>234</v>
      </c>
      <c r="B235" t="s">
        <v>183</v>
      </c>
      <c r="C235" t="s">
        <v>8</v>
      </c>
      <c r="D235" t="s">
        <v>9</v>
      </c>
      <c r="E235">
        <v>2</v>
      </c>
      <c r="F235">
        <v>300</v>
      </c>
      <c r="G235">
        <v>600</v>
      </c>
    </row>
    <row r="236" spans="1:7" x14ac:dyDescent="0.25">
      <c r="A236">
        <v>235</v>
      </c>
      <c r="B236" t="s">
        <v>99</v>
      </c>
      <c r="C236" t="s">
        <v>8</v>
      </c>
      <c r="D236" t="s">
        <v>9</v>
      </c>
      <c r="E236">
        <v>3</v>
      </c>
      <c r="F236">
        <v>300</v>
      </c>
      <c r="G236">
        <v>900</v>
      </c>
    </row>
    <row r="237" spans="1:7" x14ac:dyDescent="0.25">
      <c r="A237">
        <v>236</v>
      </c>
      <c r="B237" t="s">
        <v>184</v>
      </c>
      <c r="C237" t="s">
        <v>35</v>
      </c>
      <c r="D237" t="s">
        <v>15</v>
      </c>
      <c r="E237">
        <v>5</v>
      </c>
      <c r="F237">
        <v>20</v>
      </c>
      <c r="G237">
        <v>100</v>
      </c>
    </row>
    <row r="238" spans="1:7" x14ac:dyDescent="0.25">
      <c r="A238">
        <v>237</v>
      </c>
      <c r="B238" t="s">
        <v>38</v>
      </c>
      <c r="C238" t="s">
        <v>27</v>
      </c>
      <c r="D238" t="s">
        <v>9</v>
      </c>
      <c r="E238">
        <v>5</v>
      </c>
      <c r="F238">
        <v>800</v>
      </c>
      <c r="G238">
        <v>4000</v>
      </c>
    </row>
    <row r="239" spans="1:7" x14ac:dyDescent="0.25">
      <c r="A239">
        <v>238</v>
      </c>
      <c r="B239" t="s">
        <v>185</v>
      </c>
      <c r="C239" t="s">
        <v>35</v>
      </c>
      <c r="D239" t="s">
        <v>15</v>
      </c>
      <c r="E239">
        <v>5</v>
      </c>
      <c r="F239">
        <v>20</v>
      </c>
      <c r="G239">
        <v>100</v>
      </c>
    </row>
    <row r="240" spans="1:7" x14ac:dyDescent="0.25">
      <c r="A240">
        <v>239</v>
      </c>
      <c r="B240" t="s">
        <v>106</v>
      </c>
      <c r="C240" t="s">
        <v>19</v>
      </c>
      <c r="D240" t="s">
        <v>12</v>
      </c>
      <c r="E240">
        <v>1</v>
      </c>
      <c r="F240">
        <v>200</v>
      </c>
      <c r="G240">
        <v>200</v>
      </c>
    </row>
    <row r="241" spans="1:7" x14ac:dyDescent="0.25">
      <c r="A241">
        <v>240</v>
      </c>
      <c r="B241" t="s">
        <v>63</v>
      </c>
      <c r="C241" t="s">
        <v>14</v>
      </c>
      <c r="D241" t="s">
        <v>15</v>
      </c>
      <c r="E241">
        <v>3</v>
      </c>
      <c r="F241">
        <v>50</v>
      </c>
      <c r="G241">
        <v>150</v>
      </c>
    </row>
    <row r="242" spans="1:7" x14ac:dyDescent="0.25">
      <c r="A242">
        <v>241</v>
      </c>
      <c r="B242" t="s">
        <v>186</v>
      </c>
      <c r="C242" t="s">
        <v>17</v>
      </c>
      <c r="D242" t="s">
        <v>9</v>
      </c>
      <c r="E242">
        <v>5</v>
      </c>
      <c r="F242">
        <v>500</v>
      </c>
      <c r="G242">
        <v>2500</v>
      </c>
    </row>
    <row r="243" spans="1:7" x14ac:dyDescent="0.25">
      <c r="A243">
        <v>242</v>
      </c>
      <c r="B243" t="s">
        <v>25</v>
      </c>
      <c r="C243" t="s">
        <v>31</v>
      </c>
      <c r="D243" t="s">
        <v>15</v>
      </c>
      <c r="E243">
        <v>5</v>
      </c>
      <c r="F243">
        <v>30</v>
      </c>
      <c r="G243">
        <v>150</v>
      </c>
    </row>
    <row r="244" spans="1:7" x14ac:dyDescent="0.25">
      <c r="A244">
        <v>243</v>
      </c>
      <c r="B244" t="s">
        <v>187</v>
      </c>
      <c r="C244" t="s">
        <v>19</v>
      </c>
      <c r="D244" t="s">
        <v>12</v>
      </c>
      <c r="E244">
        <v>3</v>
      </c>
      <c r="F244">
        <v>200</v>
      </c>
      <c r="G244">
        <v>600</v>
      </c>
    </row>
    <row r="245" spans="1:7" x14ac:dyDescent="0.25">
      <c r="A245">
        <v>244</v>
      </c>
      <c r="B245" t="s">
        <v>94</v>
      </c>
      <c r="C245" t="s">
        <v>19</v>
      </c>
      <c r="D245" t="s">
        <v>12</v>
      </c>
      <c r="E245">
        <v>1</v>
      </c>
      <c r="F245">
        <v>200</v>
      </c>
      <c r="G245">
        <v>200</v>
      </c>
    </row>
    <row r="246" spans="1:7" x14ac:dyDescent="0.25">
      <c r="A246">
        <v>245</v>
      </c>
      <c r="B246" t="s">
        <v>188</v>
      </c>
      <c r="C246" t="s">
        <v>8</v>
      </c>
      <c r="D246" t="s">
        <v>9</v>
      </c>
      <c r="E246">
        <v>2</v>
      </c>
      <c r="F246">
        <v>300</v>
      </c>
      <c r="G246">
        <v>600</v>
      </c>
    </row>
    <row r="247" spans="1:7" x14ac:dyDescent="0.25">
      <c r="A247">
        <v>246</v>
      </c>
      <c r="B247" t="s">
        <v>189</v>
      </c>
      <c r="C247" t="s">
        <v>14</v>
      </c>
      <c r="D247" t="s">
        <v>15</v>
      </c>
      <c r="E247">
        <v>2</v>
      </c>
      <c r="F247">
        <v>50</v>
      </c>
      <c r="G247">
        <v>100</v>
      </c>
    </row>
    <row r="248" spans="1:7" x14ac:dyDescent="0.25">
      <c r="A248">
        <v>247</v>
      </c>
      <c r="B248" t="s">
        <v>28</v>
      </c>
      <c r="C248" t="s">
        <v>35</v>
      </c>
      <c r="D248" t="s">
        <v>15</v>
      </c>
      <c r="E248">
        <v>1</v>
      </c>
      <c r="G248">
        <v>20</v>
      </c>
    </row>
    <row r="249" spans="1:7" x14ac:dyDescent="0.25">
      <c r="A249">
        <v>248</v>
      </c>
      <c r="B249" t="s">
        <v>190</v>
      </c>
      <c r="C249" t="s">
        <v>8</v>
      </c>
      <c r="D249" t="s">
        <v>9</v>
      </c>
      <c r="E249">
        <v>4</v>
      </c>
      <c r="F249">
        <v>300</v>
      </c>
      <c r="G249">
        <v>1200</v>
      </c>
    </row>
    <row r="250" spans="1:7" x14ac:dyDescent="0.25">
      <c r="A250">
        <v>249</v>
      </c>
      <c r="B250" t="s">
        <v>182</v>
      </c>
      <c r="C250" t="s">
        <v>19</v>
      </c>
      <c r="D250" t="s">
        <v>12</v>
      </c>
      <c r="E250">
        <v>1</v>
      </c>
      <c r="F250">
        <v>200</v>
      </c>
      <c r="G250">
        <v>200</v>
      </c>
    </row>
    <row r="251" spans="1:7" x14ac:dyDescent="0.25">
      <c r="A251">
        <v>250</v>
      </c>
      <c r="B251" t="s">
        <v>174</v>
      </c>
      <c r="C251" t="s">
        <v>27</v>
      </c>
      <c r="D251" t="s">
        <v>9</v>
      </c>
      <c r="E251">
        <v>5</v>
      </c>
      <c r="F251">
        <v>800</v>
      </c>
      <c r="G251">
        <v>4000</v>
      </c>
    </row>
    <row r="252" spans="1:7" x14ac:dyDescent="0.25">
      <c r="A252">
        <v>251</v>
      </c>
      <c r="B252" t="s">
        <v>191</v>
      </c>
      <c r="C252" t="s">
        <v>31</v>
      </c>
      <c r="D252" t="s">
        <v>15</v>
      </c>
      <c r="E252">
        <v>5</v>
      </c>
      <c r="F252">
        <v>30</v>
      </c>
      <c r="G252">
        <v>150</v>
      </c>
    </row>
    <row r="253" spans="1:7" x14ac:dyDescent="0.25">
      <c r="A253">
        <v>252</v>
      </c>
      <c r="B253" t="s">
        <v>142</v>
      </c>
      <c r="C253" t="s">
        <v>27</v>
      </c>
      <c r="D253" t="s">
        <v>9</v>
      </c>
      <c r="E253">
        <v>4</v>
      </c>
      <c r="F253">
        <v>800</v>
      </c>
      <c r="G253">
        <v>3200</v>
      </c>
    </row>
    <row r="254" spans="1:7" x14ac:dyDescent="0.25">
      <c r="A254">
        <v>253</v>
      </c>
      <c r="B254" t="s">
        <v>192</v>
      </c>
      <c r="C254" t="s">
        <v>31</v>
      </c>
      <c r="D254" t="s">
        <v>15</v>
      </c>
      <c r="E254">
        <v>3</v>
      </c>
      <c r="F254">
        <v>30</v>
      </c>
      <c r="G254">
        <v>90</v>
      </c>
    </row>
    <row r="255" spans="1:7" x14ac:dyDescent="0.25">
      <c r="A255">
        <v>254</v>
      </c>
      <c r="B255" t="s">
        <v>54</v>
      </c>
      <c r="C255" t="s">
        <v>19</v>
      </c>
      <c r="D255" t="s">
        <v>12</v>
      </c>
      <c r="E255">
        <v>4</v>
      </c>
      <c r="F255">
        <v>200</v>
      </c>
      <c r="G255">
        <v>800</v>
      </c>
    </row>
    <row r="256" spans="1:7" x14ac:dyDescent="0.25">
      <c r="A256">
        <v>255</v>
      </c>
      <c r="B256" t="s">
        <v>193</v>
      </c>
      <c r="C256" t="s">
        <v>19</v>
      </c>
      <c r="D256" t="s">
        <v>12</v>
      </c>
      <c r="E256">
        <v>3</v>
      </c>
      <c r="F256">
        <v>200</v>
      </c>
      <c r="G256">
        <v>600</v>
      </c>
    </row>
    <row r="257" spans="1:7" x14ac:dyDescent="0.25">
      <c r="A257">
        <v>256</v>
      </c>
      <c r="B257" t="s">
        <v>194</v>
      </c>
      <c r="C257" t="s">
        <v>11</v>
      </c>
      <c r="D257" t="s">
        <v>12</v>
      </c>
      <c r="E257">
        <v>5</v>
      </c>
      <c r="F257">
        <v>120</v>
      </c>
      <c r="G257">
        <v>600</v>
      </c>
    </row>
    <row r="258" spans="1:7" x14ac:dyDescent="0.25">
      <c r="A258">
        <v>257</v>
      </c>
      <c r="B258" t="s">
        <v>112</v>
      </c>
      <c r="C258" t="s">
        <v>31</v>
      </c>
      <c r="D258" t="s">
        <v>15</v>
      </c>
      <c r="E258">
        <v>1</v>
      </c>
      <c r="F258">
        <v>30</v>
      </c>
      <c r="G258">
        <v>30</v>
      </c>
    </row>
    <row r="259" spans="1:7" x14ac:dyDescent="0.25">
      <c r="A259">
        <v>258</v>
      </c>
      <c r="B259" t="s">
        <v>195</v>
      </c>
      <c r="C259" t="s">
        <v>27</v>
      </c>
      <c r="D259" t="s">
        <v>9</v>
      </c>
      <c r="E259">
        <v>4</v>
      </c>
      <c r="F259">
        <v>800</v>
      </c>
      <c r="G259">
        <v>3200</v>
      </c>
    </row>
    <row r="260" spans="1:7" x14ac:dyDescent="0.25">
      <c r="A260">
        <v>259</v>
      </c>
      <c r="B260" t="s">
        <v>121</v>
      </c>
      <c r="C260" t="s">
        <v>19</v>
      </c>
      <c r="D260" t="s">
        <v>12</v>
      </c>
      <c r="E260">
        <v>4</v>
      </c>
      <c r="F260">
        <v>200</v>
      </c>
      <c r="G260">
        <v>800</v>
      </c>
    </row>
    <row r="261" spans="1:7" x14ac:dyDescent="0.25">
      <c r="A261">
        <v>260</v>
      </c>
      <c r="B261" t="s">
        <v>196</v>
      </c>
      <c r="C261" t="s">
        <v>17</v>
      </c>
      <c r="D261" t="s">
        <v>9</v>
      </c>
      <c r="E261">
        <v>4</v>
      </c>
      <c r="F261">
        <v>500</v>
      </c>
      <c r="G261">
        <v>2000</v>
      </c>
    </row>
    <row r="262" spans="1:7" x14ac:dyDescent="0.25">
      <c r="A262">
        <v>261</v>
      </c>
      <c r="B262" t="s">
        <v>197</v>
      </c>
      <c r="C262" t="s">
        <v>27</v>
      </c>
      <c r="D262" t="s">
        <v>9</v>
      </c>
      <c r="E262">
        <v>2</v>
      </c>
      <c r="G262">
        <v>1600</v>
      </c>
    </row>
    <row r="263" spans="1:7" x14ac:dyDescent="0.25">
      <c r="A263">
        <v>262</v>
      </c>
      <c r="B263" t="s">
        <v>98</v>
      </c>
      <c r="C263" t="s">
        <v>19</v>
      </c>
      <c r="D263" t="s">
        <v>12</v>
      </c>
      <c r="E263">
        <v>4</v>
      </c>
      <c r="F263">
        <v>200</v>
      </c>
      <c r="G263">
        <v>800</v>
      </c>
    </row>
    <row r="264" spans="1:7" x14ac:dyDescent="0.25">
      <c r="A264">
        <v>263</v>
      </c>
      <c r="B264" t="s">
        <v>198</v>
      </c>
      <c r="C264" t="s">
        <v>17</v>
      </c>
      <c r="D264" t="s">
        <v>9</v>
      </c>
      <c r="E264">
        <v>4</v>
      </c>
      <c r="F264">
        <v>500</v>
      </c>
      <c r="G264">
        <v>2000</v>
      </c>
    </row>
    <row r="265" spans="1:7" x14ac:dyDescent="0.25">
      <c r="A265">
        <v>264</v>
      </c>
      <c r="B265" t="s">
        <v>140</v>
      </c>
      <c r="C265" t="s">
        <v>35</v>
      </c>
      <c r="D265" t="s">
        <v>15</v>
      </c>
      <c r="E265">
        <v>1</v>
      </c>
      <c r="F265">
        <v>20</v>
      </c>
      <c r="G265">
        <v>20</v>
      </c>
    </row>
    <row r="266" spans="1:7" x14ac:dyDescent="0.25">
      <c r="A266">
        <v>265</v>
      </c>
      <c r="B266" t="s">
        <v>199</v>
      </c>
      <c r="C266" t="s">
        <v>35</v>
      </c>
      <c r="D266" t="s">
        <v>15</v>
      </c>
      <c r="E266">
        <v>1</v>
      </c>
      <c r="F266">
        <v>20</v>
      </c>
      <c r="G266">
        <v>20</v>
      </c>
    </row>
    <row r="267" spans="1:7" x14ac:dyDescent="0.25">
      <c r="A267">
        <v>266</v>
      </c>
      <c r="B267" t="s">
        <v>130</v>
      </c>
      <c r="C267" t="s">
        <v>14</v>
      </c>
      <c r="D267" t="s">
        <v>15</v>
      </c>
      <c r="E267">
        <v>2</v>
      </c>
      <c r="F267">
        <v>50</v>
      </c>
      <c r="G267">
        <v>100</v>
      </c>
    </row>
    <row r="268" spans="1:7" x14ac:dyDescent="0.25">
      <c r="A268">
        <v>267</v>
      </c>
      <c r="B268" t="s">
        <v>200</v>
      </c>
      <c r="C268" t="s">
        <v>11</v>
      </c>
      <c r="D268" t="s">
        <v>12</v>
      </c>
      <c r="E268">
        <v>4</v>
      </c>
      <c r="F268">
        <v>120</v>
      </c>
      <c r="G268">
        <v>480</v>
      </c>
    </row>
    <row r="269" spans="1:7" x14ac:dyDescent="0.25">
      <c r="A269">
        <v>268</v>
      </c>
      <c r="B269" t="s">
        <v>201</v>
      </c>
      <c r="C269" t="s">
        <v>14</v>
      </c>
      <c r="D269" t="s">
        <v>15</v>
      </c>
      <c r="E269">
        <v>1</v>
      </c>
      <c r="F269">
        <v>50</v>
      </c>
      <c r="G269">
        <v>50</v>
      </c>
    </row>
    <row r="270" spans="1:7" x14ac:dyDescent="0.25">
      <c r="A270">
        <v>269</v>
      </c>
      <c r="B270" t="s">
        <v>43</v>
      </c>
      <c r="C270" t="s">
        <v>17</v>
      </c>
      <c r="D270" t="s">
        <v>9</v>
      </c>
      <c r="E270">
        <v>4</v>
      </c>
      <c r="F270">
        <v>500</v>
      </c>
      <c r="G270">
        <v>2000</v>
      </c>
    </row>
    <row r="271" spans="1:7" x14ac:dyDescent="0.25">
      <c r="A271">
        <v>270</v>
      </c>
      <c r="B271" t="s">
        <v>202</v>
      </c>
      <c r="C271" t="s">
        <v>14</v>
      </c>
      <c r="D271" t="s">
        <v>15</v>
      </c>
      <c r="E271">
        <v>4</v>
      </c>
      <c r="F271">
        <v>50</v>
      </c>
      <c r="G271">
        <v>200</v>
      </c>
    </row>
    <row r="272" spans="1:7" x14ac:dyDescent="0.25">
      <c r="A272">
        <v>271</v>
      </c>
      <c r="B272" t="s">
        <v>95</v>
      </c>
      <c r="C272" t="s">
        <v>19</v>
      </c>
      <c r="D272" t="s">
        <v>12</v>
      </c>
      <c r="E272">
        <v>5</v>
      </c>
      <c r="F272">
        <v>200</v>
      </c>
      <c r="G272">
        <v>1000</v>
      </c>
    </row>
    <row r="273" spans="1:7" x14ac:dyDescent="0.25">
      <c r="A273">
        <v>272</v>
      </c>
      <c r="B273" t="s">
        <v>45</v>
      </c>
      <c r="C273" t="s">
        <v>19</v>
      </c>
      <c r="D273" t="s">
        <v>12</v>
      </c>
      <c r="E273">
        <v>2</v>
      </c>
      <c r="F273">
        <v>200</v>
      </c>
      <c r="G273">
        <v>400</v>
      </c>
    </row>
    <row r="274" spans="1:7" x14ac:dyDescent="0.25">
      <c r="A274">
        <v>273</v>
      </c>
      <c r="B274" t="s">
        <v>51</v>
      </c>
      <c r="C274" t="s">
        <v>31</v>
      </c>
      <c r="D274" t="s">
        <v>15</v>
      </c>
      <c r="E274">
        <v>3</v>
      </c>
      <c r="F274">
        <v>30</v>
      </c>
      <c r="G274">
        <v>90</v>
      </c>
    </row>
    <row r="275" spans="1:7" x14ac:dyDescent="0.25">
      <c r="A275">
        <v>274</v>
      </c>
      <c r="B275" t="s">
        <v>203</v>
      </c>
      <c r="C275" t="s">
        <v>31</v>
      </c>
      <c r="D275" t="s">
        <v>15</v>
      </c>
      <c r="E275">
        <v>4</v>
      </c>
      <c r="F275">
        <v>30</v>
      </c>
      <c r="G275">
        <v>120</v>
      </c>
    </row>
    <row r="276" spans="1:7" x14ac:dyDescent="0.25">
      <c r="A276">
        <v>275</v>
      </c>
      <c r="B276" t="s">
        <v>91</v>
      </c>
      <c r="C276" t="s">
        <v>14</v>
      </c>
      <c r="D276" t="s">
        <v>15</v>
      </c>
      <c r="E276">
        <v>1</v>
      </c>
      <c r="F276">
        <v>50</v>
      </c>
      <c r="G276">
        <v>50</v>
      </c>
    </row>
    <row r="277" spans="1:7" x14ac:dyDescent="0.25">
      <c r="A277">
        <v>276</v>
      </c>
      <c r="B277" t="s">
        <v>204</v>
      </c>
      <c r="C277" t="s">
        <v>11</v>
      </c>
      <c r="D277" t="s">
        <v>12</v>
      </c>
      <c r="E277">
        <v>2</v>
      </c>
      <c r="F277">
        <v>120</v>
      </c>
      <c r="G277">
        <v>240</v>
      </c>
    </row>
    <row r="278" spans="1:7" x14ac:dyDescent="0.25">
      <c r="A278">
        <v>277</v>
      </c>
      <c r="B278" t="s">
        <v>106</v>
      </c>
      <c r="C278" t="s">
        <v>31</v>
      </c>
      <c r="D278" t="s">
        <v>15</v>
      </c>
      <c r="E278">
        <v>5</v>
      </c>
      <c r="F278">
        <v>30</v>
      </c>
      <c r="G278">
        <v>150</v>
      </c>
    </row>
    <row r="279" spans="1:7" x14ac:dyDescent="0.25">
      <c r="A279">
        <v>278</v>
      </c>
      <c r="B279" t="s">
        <v>205</v>
      </c>
      <c r="C279" t="s">
        <v>31</v>
      </c>
      <c r="D279" t="s">
        <v>15</v>
      </c>
      <c r="E279">
        <v>4</v>
      </c>
      <c r="F279">
        <v>30</v>
      </c>
      <c r="G279">
        <v>120</v>
      </c>
    </row>
    <row r="280" spans="1:7" x14ac:dyDescent="0.25">
      <c r="A280">
        <v>279</v>
      </c>
      <c r="B280" t="s">
        <v>194</v>
      </c>
      <c r="C280" t="s">
        <v>27</v>
      </c>
      <c r="D280" t="s">
        <v>9</v>
      </c>
      <c r="E280">
        <v>1</v>
      </c>
      <c r="F280">
        <v>800</v>
      </c>
      <c r="G280">
        <v>800</v>
      </c>
    </row>
    <row r="281" spans="1:7" x14ac:dyDescent="0.25">
      <c r="A281">
        <v>280</v>
      </c>
      <c r="B281" t="s">
        <v>206</v>
      </c>
      <c r="C281" t="s">
        <v>14</v>
      </c>
      <c r="D281" t="s">
        <v>15</v>
      </c>
      <c r="E281">
        <v>1</v>
      </c>
      <c r="F281">
        <v>50</v>
      </c>
      <c r="G281">
        <v>50</v>
      </c>
    </row>
    <row r="282" spans="1:7" x14ac:dyDescent="0.25">
      <c r="A282">
        <v>281</v>
      </c>
      <c r="B282" t="s">
        <v>20</v>
      </c>
      <c r="C282" t="s">
        <v>8</v>
      </c>
      <c r="D282" t="s">
        <v>9</v>
      </c>
      <c r="E282">
        <v>3</v>
      </c>
      <c r="F282">
        <v>300</v>
      </c>
      <c r="G282">
        <v>900</v>
      </c>
    </row>
    <row r="283" spans="1:7" x14ac:dyDescent="0.25">
      <c r="A283">
        <v>282</v>
      </c>
      <c r="B283" t="s">
        <v>207</v>
      </c>
      <c r="C283" t="s">
        <v>17</v>
      </c>
      <c r="D283" t="s">
        <v>9</v>
      </c>
      <c r="E283">
        <v>2</v>
      </c>
      <c r="F283">
        <v>500</v>
      </c>
      <c r="G283">
        <v>1000</v>
      </c>
    </row>
    <row r="284" spans="1:7" x14ac:dyDescent="0.25">
      <c r="A284">
        <v>283</v>
      </c>
      <c r="B284" t="s">
        <v>208</v>
      </c>
      <c r="C284" t="s">
        <v>17</v>
      </c>
      <c r="D284" t="s">
        <v>9</v>
      </c>
      <c r="E284">
        <v>5</v>
      </c>
      <c r="F284">
        <v>500</v>
      </c>
      <c r="G284">
        <v>2500</v>
      </c>
    </row>
    <row r="285" spans="1:7" x14ac:dyDescent="0.25">
      <c r="A285">
        <v>284</v>
      </c>
      <c r="B285" t="s">
        <v>209</v>
      </c>
      <c r="C285" t="s">
        <v>19</v>
      </c>
      <c r="D285" t="s">
        <v>12</v>
      </c>
      <c r="E285">
        <v>4</v>
      </c>
      <c r="F285">
        <v>200</v>
      </c>
      <c r="G285">
        <v>800</v>
      </c>
    </row>
    <row r="286" spans="1:7" x14ac:dyDescent="0.25">
      <c r="A286">
        <v>285</v>
      </c>
      <c r="B286" t="s">
        <v>210</v>
      </c>
      <c r="C286" t="s">
        <v>8</v>
      </c>
      <c r="D286" t="s">
        <v>9</v>
      </c>
      <c r="E286">
        <v>5</v>
      </c>
      <c r="F286">
        <v>300</v>
      </c>
      <c r="G286">
        <v>1500</v>
      </c>
    </row>
    <row r="287" spans="1:7" x14ac:dyDescent="0.25">
      <c r="A287">
        <v>286</v>
      </c>
      <c r="B287" t="s">
        <v>211</v>
      </c>
      <c r="C287" t="s">
        <v>224</v>
      </c>
      <c r="D287" t="s">
        <v>9</v>
      </c>
      <c r="E287">
        <v>2</v>
      </c>
      <c r="F287">
        <v>300</v>
      </c>
      <c r="G287">
        <v>600</v>
      </c>
    </row>
    <row r="288" spans="1:7" x14ac:dyDescent="0.25">
      <c r="A288">
        <v>287</v>
      </c>
      <c r="B288" t="s">
        <v>212</v>
      </c>
      <c r="C288" t="s">
        <v>8</v>
      </c>
      <c r="D288" t="s">
        <v>9</v>
      </c>
      <c r="E288">
        <v>3</v>
      </c>
      <c r="F288">
        <v>300</v>
      </c>
      <c r="G288">
        <v>900</v>
      </c>
    </row>
    <row r="289" spans="1:7" x14ac:dyDescent="0.25">
      <c r="A289">
        <v>288</v>
      </c>
      <c r="B289" t="s">
        <v>213</v>
      </c>
      <c r="C289" t="s">
        <v>27</v>
      </c>
      <c r="D289" t="s">
        <v>9</v>
      </c>
      <c r="E289">
        <v>3</v>
      </c>
      <c r="F289">
        <v>800</v>
      </c>
      <c r="G289">
        <v>2400</v>
      </c>
    </row>
    <row r="290" spans="1:7" x14ac:dyDescent="0.25">
      <c r="A290">
        <v>289</v>
      </c>
      <c r="B290" t="s">
        <v>166</v>
      </c>
      <c r="C290" t="s">
        <v>8</v>
      </c>
      <c r="D290" t="s">
        <v>9</v>
      </c>
      <c r="E290">
        <v>2</v>
      </c>
      <c r="F290">
        <v>300</v>
      </c>
      <c r="G290">
        <v>600</v>
      </c>
    </row>
    <row r="291" spans="1:7" x14ac:dyDescent="0.25">
      <c r="A291">
        <v>290</v>
      </c>
      <c r="B291" t="s">
        <v>214</v>
      </c>
      <c r="C291" t="s">
        <v>19</v>
      </c>
      <c r="D291" t="s">
        <v>12</v>
      </c>
      <c r="E291">
        <v>1</v>
      </c>
      <c r="F291">
        <v>200</v>
      </c>
      <c r="G291">
        <v>200</v>
      </c>
    </row>
    <row r="292" spans="1:7" x14ac:dyDescent="0.25">
      <c r="A292">
        <v>291</v>
      </c>
      <c r="B292" t="s">
        <v>215</v>
      </c>
      <c r="C292" t="s">
        <v>27</v>
      </c>
      <c r="D292" t="s">
        <v>9</v>
      </c>
      <c r="E292">
        <v>4</v>
      </c>
      <c r="F292">
        <v>800</v>
      </c>
      <c r="G292">
        <v>3200</v>
      </c>
    </row>
    <row r="293" spans="1:7" x14ac:dyDescent="0.25">
      <c r="A293">
        <v>292</v>
      </c>
      <c r="B293" t="s">
        <v>216</v>
      </c>
      <c r="C293" t="s">
        <v>31</v>
      </c>
      <c r="D293" t="s">
        <v>15</v>
      </c>
      <c r="E293">
        <v>5</v>
      </c>
      <c r="G293">
        <v>150</v>
      </c>
    </row>
    <row r="294" spans="1:7" x14ac:dyDescent="0.25">
      <c r="A294">
        <v>293</v>
      </c>
      <c r="B294" t="s">
        <v>217</v>
      </c>
      <c r="C294" t="s">
        <v>17</v>
      </c>
      <c r="D294" t="s">
        <v>9</v>
      </c>
      <c r="E294">
        <v>2</v>
      </c>
      <c r="F294">
        <v>500</v>
      </c>
      <c r="G294">
        <v>1000</v>
      </c>
    </row>
    <row r="295" spans="1:7" x14ac:dyDescent="0.25">
      <c r="A295">
        <v>294</v>
      </c>
      <c r="B295" t="s">
        <v>218</v>
      </c>
      <c r="C295" t="s">
        <v>14</v>
      </c>
      <c r="D295" t="s">
        <v>15</v>
      </c>
      <c r="E295">
        <v>3</v>
      </c>
      <c r="F295">
        <v>50</v>
      </c>
      <c r="G295">
        <v>150</v>
      </c>
    </row>
    <row r="296" spans="1:7" x14ac:dyDescent="0.25">
      <c r="A296">
        <v>295</v>
      </c>
      <c r="B296" t="s">
        <v>124</v>
      </c>
      <c r="C296" t="s">
        <v>31</v>
      </c>
      <c r="D296" t="s">
        <v>15</v>
      </c>
      <c r="E296">
        <v>4</v>
      </c>
      <c r="F296">
        <v>30</v>
      </c>
      <c r="G296">
        <v>120</v>
      </c>
    </row>
    <row r="297" spans="1:7" x14ac:dyDescent="0.25">
      <c r="A297">
        <v>296</v>
      </c>
      <c r="B297" t="s">
        <v>167</v>
      </c>
      <c r="C297" t="s">
        <v>27</v>
      </c>
      <c r="D297" t="s">
        <v>9</v>
      </c>
      <c r="E297">
        <v>2</v>
      </c>
      <c r="G297">
        <v>1600</v>
      </c>
    </row>
    <row r="298" spans="1:7" x14ac:dyDescent="0.25">
      <c r="A298">
        <v>297</v>
      </c>
      <c r="B298" t="s">
        <v>193</v>
      </c>
      <c r="C298" t="s">
        <v>14</v>
      </c>
      <c r="D298" t="s">
        <v>15</v>
      </c>
      <c r="E298">
        <v>1</v>
      </c>
      <c r="F298">
        <v>50</v>
      </c>
      <c r="G298">
        <v>50</v>
      </c>
    </row>
    <row r="299" spans="1:7" x14ac:dyDescent="0.25">
      <c r="A299">
        <v>298</v>
      </c>
      <c r="B299" t="s">
        <v>219</v>
      </c>
      <c r="C299" t="s">
        <v>225</v>
      </c>
      <c r="D299" t="s">
        <v>15</v>
      </c>
      <c r="E299">
        <v>1</v>
      </c>
      <c r="F299">
        <v>50</v>
      </c>
      <c r="G299">
        <v>50</v>
      </c>
    </row>
    <row r="300" spans="1:7" x14ac:dyDescent="0.25">
      <c r="A300">
        <v>299</v>
      </c>
      <c r="B300" t="s">
        <v>143</v>
      </c>
      <c r="C300" t="s">
        <v>35</v>
      </c>
      <c r="D300" t="s">
        <v>15</v>
      </c>
      <c r="E300">
        <v>2</v>
      </c>
      <c r="F300">
        <v>20</v>
      </c>
      <c r="G300">
        <v>40</v>
      </c>
    </row>
    <row r="301" spans="1:7" x14ac:dyDescent="0.25">
      <c r="A301">
        <v>300</v>
      </c>
      <c r="B301" t="s">
        <v>197</v>
      </c>
      <c r="C301" t="s">
        <v>221</v>
      </c>
      <c r="D301" t="s">
        <v>12</v>
      </c>
      <c r="E301">
        <v>5</v>
      </c>
      <c r="F301">
        <v>200</v>
      </c>
      <c r="G301">
        <v>1000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AEE1A-A902-4436-B2EF-063549248AEC}">
  <dimension ref="A1:G291"/>
  <sheetViews>
    <sheetView workbookViewId="0">
      <selection activeCell="E1" sqref="E1"/>
    </sheetView>
  </sheetViews>
  <sheetFormatPr defaultRowHeight="15" x14ac:dyDescent="0.25"/>
  <cols>
    <col min="1" max="1" width="10.85546875" bestFit="1" customWidth="1"/>
    <col min="2" max="2" width="13.140625" style="1" bestFit="1" customWidth="1"/>
    <col min="3" max="3" width="10.140625" bestFit="1" customWidth="1"/>
    <col min="4" max="4" width="11.28515625" bestFit="1" customWidth="1"/>
    <col min="5" max="5" width="10.7109375" bestFit="1" customWidth="1"/>
    <col min="6" max="6" width="13.7109375" style="3" bestFit="1" customWidth="1"/>
    <col min="7" max="7" width="14.28515625" style="3" bestFit="1" customWidth="1"/>
  </cols>
  <sheetData>
    <row r="1" spans="1:7" x14ac:dyDescent="0.25">
      <c r="A1" t="s">
        <v>0</v>
      </c>
      <c r="B1" s="1" t="s">
        <v>1</v>
      </c>
      <c r="C1" t="s">
        <v>2</v>
      </c>
      <c r="D1" t="s">
        <v>3</v>
      </c>
      <c r="E1" t="s">
        <v>4</v>
      </c>
      <c r="F1" s="3" t="s">
        <v>5</v>
      </c>
      <c r="G1" s="3" t="s">
        <v>230</v>
      </c>
    </row>
    <row r="2" spans="1:7" x14ac:dyDescent="0.25">
      <c r="A2">
        <v>1</v>
      </c>
      <c r="B2" s="1">
        <v>45583</v>
      </c>
      <c r="C2" t="s">
        <v>8</v>
      </c>
      <c r="D2" t="s">
        <v>9</v>
      </c>
      <c r="E2">
        <v>5</v>
      </c>
      <c r="F2" s="2">
        <v>300</v>
      </c>
      <c r="G2" s="2">
        <v>1500</v>
      </c>
    </row>
    <row r="3" spans="1:7" x14ac:dyDescent="0.25">
      <c r="A3">
        <v>2</v>
      </c>
      <c r="B3" s="1">
        <v>45453</v>
      </c>
      <c r="C3" t="s">
        <v>11</v>
      </c>
      <c r="D3" t="s">
        <v>12</v>
      </c>
      <c r="E3">
        <v>1</v>
      </c>
      <c r="F3" s="2">
        <v>120</v>
      </c>
      <c r="G3" s="2">
        <v>120</v>
      </c>
    </row>
    <row r="4" spans="1:7" x14ac:dyDescent="0.25">
      <c r="A4">
        <v>4</v>
      </c>
      <c r="B4" s="1">
        <v>45406</v>
      </c>
      <c r="C4" t="s">
        <v>17</v>
      </c>
      <c r="D4" t="s">
        <v>9</v>
      </c>
      <c r="E4">
        <v>4</v>
      </c>
      <c r="F4" s="2">
        <v>500</v>
      </c>
      <c r="G4" s="2">
        <v>2000</v>
      </c>
    </row>
    <row r="5" spans="1:7" x14ac:dyDescent="0.25">
      <c r="A5">
        <v>5</v>
      </c>
      <c r="B5" s="1">
        <v>45606</v>
      </c>
      <c r="C5" t="s">
        <v>19</v>
      </c>
      <c r="D5" t="s">
        <v>12</v>
      </c>
      <c r="E5">
        <v>4</v>
      </c>
      <c r="F5" s="2">
        <v>200</v>
      </c>
      <c r="G5" s="2">
        <v>800</v>
      </c>
    </row>
    <row r="6" spans="1:7" x14ac:dyDescent="0.25">
      <c r="A6">
        <v>6</v>
      </c>
      <c r="B6" s="1">
        <v>45639</v>
      </c>
      <c r="C6" t="s">
        <v>17</v>
      </c>
      <c r="D6" t="s">
        <v>9</v>
      </c>
      <c r="E6">
        <v>3</v>
      </c>
      <c r="F6" s="2">
        <v>500</v>
      </c>
      <c r="G6" s="2">
        <v>1500</v>
      </c>
    </row>
    <row r="7" spans="1:7" x14ac:dyDescent="0.25">
      <c r="A7">
        <v>7</v>
      </c>
      <c r="B7" s="1">
        <v>45315</v>
      </c>
      <c r="C7" t="s">
        <v>17</v>
      </c>
      <c r="D7" t="s">
        <v>9</v>
      </c>
      <c r="E7">
        <v>3</v>
      </c>
      <c r="F7" s="2">
        <v>500</v>
      </c>
      <c r="G7" s="2">
        <v>1500</v>
      </c>
    </row>
    <row r="8" spans="1:7" x14ac:dyDescent="0.25">
      <c r="A8">
        <v>8</v>
      </c>
      <c r="B8" s="1">
        <v>45359</v>
      </c>
      <c r="C8" t="s">
        <v>19</v>
      </c>
      <c r="D8" t="s">
        <v>12</v>
      </c>
      <c r="E8">
        <v>3</v>
      </c>
      <c r="F8" s="2">
        <v>200</v>
      </c>
      <c r="G8" s="2">
        <v>600</v>
      </c>
    </row>
    <row r="9" spans="1:7" x14ac:dyDescent="0.25">
      <c r="A9">
        <v>9</v>
      </c>
      <c r="B9" s="1">
        <v>45581</v>
      </c>
      <c r="C9" t="s">
        <v>19</v>
      </c>
      <c r="D9" t="s">
        <v>12</v>
      </c>
      <c r="E9">
        <v>3</v>
      </c>
      <c r="F9" s="2">
        <v>200</v>
      </c>
      <c r="G9" s="2">
        <v>600</v>
      </c>
    </row>
    <row r="10" spans="1:7" x14ac:dyDescent="0.25">
      <c r="A10">
        <v>10</v>
      </c>
      <c r="B10" s="1">
        <v>45584</v>
      </c>
      <c r="C10" t="s">
        <v>8</v>
      </c>
      <c r="D10" t="s">
        <v>9</v>
      </c>
      <c r="E10">
        <v>1</v>
      </c>
      <c r="F10" s="2">
        <v>300</v>
      </c>
      <c r="G10" s="2">
        <v>300</v>
      </c>
    </row>
    <row r="11" spans="1:7" x14ac:dyDescent="0.25">
      <c r="A11">
        <v>12</v>
      </c>
      <c r="B11" s="1">
        <v>45374</v>
      </c>
      <c r="C11" t="s">
        <v>27</v>
      </c>
      <c r="D11" t="s">
        <v>9</v>
      </c>
      <c r="E11">
        <v>5</v>
      </c>
      <c r="F11" s="2">
        <v>800</v>
      </c>
      <c r="G11" s="2">
        <v>4000</v>
      </c>
    </row>
    <row r="12" spans="1:7" x14ac:dyDescent="0.25">
      <c r="A12">
        <v>13</v>
      </c>
      <c r="B12" s="1">
        <v>45552</v>
      </c>
      <c r="C12" t="s">
        <v>19</v>
      </c>
      <c r="D12" t="s">
        <v>12</v>
      </c>
      <c r="E12">
        <v>4</v>
      </c>
      <c r="F12" s="2">
        <v>200</v>
      </c>
      <c r="G12" s="2">
        <v>800</v>
      </c>
    </row>
    <row r="13" spans="1:7" x14ac:dyDescent="0.25">
      <c r="A13">
        <v>14</v>
      </c>
      <c r="B13" s="1">
        <v>45644</v>
      </c>
      <c r="C13" t="s">
        <v>11</v>
      </c>
      <c r="D13" t="s">
        <v>12</v>
      </c>
      <c r="E13">
        <v>4</v>
      </c>
      <c r="F13" s="2">
        <v>120</v>
      </c>
      <c r="G13" s="2">
        <v>480</v>
      </c>
    </row>
    <row r="14" spans="1:7" x14ac:dyDescent="0.25">
      <c r="A14">
        <v>15</v>
      </c>
      <c r="B14" s="1">
        <v>45325</v>
      </c>
      <c r="C14" t="s">
        <v>31</v>
      </c>
      <c r="D14" t="s">
        <v>15</v>
      </c>
      <c r="E14">
        <v>2</v>
      </c>
      <c r="F14" s="2">
        <v>30</v>
      </c>
      <c r="G14" s="2">
        <v>60</v>
      </c>
    </row>
    <row r="15" spans="1:7" x14ac:dyDescent="0.25">
      <c r="A15">
        <v>16</v>
      </c>
      <c r="B15" s="1">
        <v>45337</v>
      </c>
      <c r="C15" t="s">
        <v>11</v>
      </c>
      <c r="D15" t="s">
        <v>12</v>
      </c>
      <c r="E15">
        <v>1</v>
      </c>
      <c r="F15" s="2">
        <v>120</v>
      </c>
      <c r="G15" s="2">
        <v>120</v>
      </c>
    </row>
    <row r="16" spans="1:7" x14ac:dyDescent="0.25">
      <c r="A16">
        <v>17</v>
      </c>
      <c r="B16" s="1">
        <v>45384</v>
      </c>
      <c r="C16" t="s">
        <v>14</v>
      </c>
      <c r="D16" t="s">
        <v>15</v>
      </c>
      <c r="E16">
        <v>2</v>
      </c>
      <c r="F16" s="2">
        <v>50</v>
      </c>
      <c r="G16" s="2">
        <v>100</v>
      </c>
    </row>
    <row r="17" spans="1:7" x14ac:dyDescent="0.25">
      <c r="A17">
        <v>18</v>
      </c>
      <c r="B17" s="1">
        <v>45469</v>
      </c>
      <c r="C17" t="s">
        <v>35</v>
      </c>
      <c r="D17" t="s">
        <v>15</v>
      </c>
      <c r="E17">
        <v>2</v>
      </c>
      <c r="F17" s="2">
        <v>20</v>
      </c>
      <c r="G17" s="2">
        <v>40</v>
      </c>
    </row>
    <row r="18" spans="1:7" x14ac:dyDescent="0.25">
      <c r="A18">
        <v>19</v>
      </c>
      <c r="B18" s="1">
        <v>45431</v>
      </c>
      <c r="C18" t="s">
        <v>35</v>
      </c>
      <c r="D18" t="s">
        <v>15</v>
      </c>
      <c r="E18">
        <v>3</v>
      </c>
      <c r="F18" s="2">
        <v>20</v>
      </c>
      <c r="G18" s="2">
        <v>60</v>
      </c>
    </row>
    <row r="19" spans="1:7" x14ac:dyDescent="0.25">
      <c r="A19">
        <v>20</v>
      </c>
      <c r="B19" s="1">
        <v>45651</v>
      </c>
      <c r="C19" t="s">
        <v>11</v>
      </c>
      <c r="D19" t="s">
        <v>12</v>
      </c>
      <c r="E19">
        <v>3</v>
      </c>
      <c r="F19" s="2">
        <v>120</v>
      </c>
      <c r="G19" s="2">
        <v>360</v>
      </c>
    </row>
    <row r="20" spans="1:7" x14ac:dyDescent="0.25">
      <c r="A20">
        <v>21</v>
      </c>
      <c r="B20" s="1">
        <v>45623</v>
      </c>
      <c r="C20" t="s">
        <v>19</v>
      </c>
      <c r="D20" t="s">
        <v>12</v>
      </c>
      <c r="E20">
        <v>4</v>
      </c>
      <c r="F20" s="2">
        <v>200</v>
      </c>
      <c r="G20" s="2">
        <v>800</v>
      </c>
    </row>
    <row r="21" spans="1:7" x14ac:dyDescent="0.25">
      <c r="A21">
        <v>22</v>
      </c>
      <c r="B21" s="1">
        <v>45655</v>
      </c>
      <c r="C21" t="s">
        <v>11</v>
      </c>
      <c r="D21" t="s">
        <v>12</v>
      </c>
      <c r="E21">
        <v>4</v>
      </c>
      <c r="F21" s="2">
        <v>120</v>
      </c>
      <c r="G21" s="2">
        <v>480</v>
      </c>
    </row>
    <row r="22" spans="1:7" x14ac:dyDescent="0.25">
      <c r="A22">
        <v>23</v>
      </c>
      <c r="B22" s="1">
        <v>45459</v>
      </c>
      <c r="C22" t="s">
        <v>31</v>
      </c>
      <c r="D22" t="s">
        <v>15</v>
      </c>
      <c r="E22">
        <v>4</v>
      </c>
      <c r="F22" s="2">
        <v>30</v>
      </c>
      <c r="G22" s="2">
        <v>120</v>
      </c>
    </row>
    <row r="23" spans="1:7" x14ac:dyDescent="0.25">
      <c r="A23">
        <v>24</v>
      </c>
      <c r="B23" s="1">
        <v>45460</v>
      </c>
      <c r="C23" t="s">
        <v>35</v>
      </c>
      <c r="D23" t="s">
        <v>15</v>
      </c>
      <c r="E23">
        <v>2</v>
      </c>
      <c r="F23" s="2">
        <v>20</v>
      </c>
      <c r="G23" s="2">
        <v>40</v>
      </c>
    </row>
    <row r="24" spans="1:7" x14ac:dyDescent="0.25">
      <c r="A24">
        <v>25</v>
      </c>
      <c r="B24" s="1">
        <v>45625</v>
      </c>
      <c r="C24" t="s">
        <v>8</v>
      </c>
      <c r="D24" t="s">
        <v>9</v>
      </c>
      <c r="E24">
        <v>5</v>
      </c>
      <c r="F24" s="2">
        <v>300</v>
      </c>
      <c r="G24" s="2">
        <v>1500</v>
      </c>
    </row>
    <row r="25" spans="1:7" x14ac:dyDescent="0.25">
      <c r="A25">
        <v>26</v>
      </c>
      <c r="B25" s="1">
        <v>45615</v>
      </c>
      <c r="C25" t="s">
        <v>11</v>
      </c>
      <c r="D25" t="s">
        <v>12</v>
      </c>
      <c r="E25">
        <v>2</v>
      </c>
      <c r="F25" s="2">
        <v>120</v>
      </c>
      <c r="G25" s="2">
        <v>240</v>
      </c>
    </row>
    <row r="26" spans="1:7" x14ac:dyDescent="0.25">
      <c r="A26">
        <v>27</v>
      </c>
      <c r="B26" s="1">
        <v>45434</v>
      </c>
      <c r="C26" t="s">
        <v>31</v>
      </c>
      <c r="D26" t="s">
        <v>15</v>
      </c>
      <c r="E26">
        <v>1</v>
      </c>
      <c r="F26" s="2">
        <v>30</v>
      </c>
      <c r="G26" s="2">
        <v>30</v>
      </c>
    </row>
    <row r="27" spans="1:7" x14ac:dyDescent="0.25">
      <c r="A27">
        <v>28</v>
      </c>
      <c r="B27" s="1">
        <v>45393</v>
      </c>
      <c r="C27" t="s">
        <v>19</v>
      </c>
      <c r="D27" t="s">
        <v>12</v>
      </c>
      <c r="E27">
        <v>3</v>
      </c>
      <c r="F27" s="2">
        <v>200</v>
      </c>
      <c r="G27" s="2">
        <v>600</v>
      </c>
    </row>
    <row r="28" spans="1:7" x14ac:dyDescent="0.25">
      <c r="A28">
        <v>29</v>
      </c>
      <c r="B28" s="1">
        <v>45406</v>
      </c>
      <c r="C28" t="s">
        <v>17</v>
      </c>
      <c r="D28" t="s">
        <v>9</v>
      </c>
      <c r="E28">
        <v>5</v>
      </c>
      <c r="F28" s="2">
        <v>500</v>
      </c>
      <c r="G28" s="2">
        <v>2500</v>
      </c>
    </row>
    <row r="29" spans="1:7" x14ac:dyDescent="0.25">
      <c r="A29">
        <v>30</v>
      </c>
      <c r="B29" s="1">
        <v>45320</v>
      </c>
      <c r="C29" t="s">
        <v>31</v>
      </c>
      <c r="D29" t="s">
        <v>15</v>
      </c>
      <c r="E29">
        <v>4</v>
      </c>
      <c r="F29" s="2">
        <v>30</v>
      </c>
      <c r="G29" s="2">
        <v>120</v>
      </c>
    </row>
    <row r="30" spans="1:7" x14ac:dyDescent="0.25">
      <c r="A30">
        <v>31</v>
      </c>
      <c r="B30" s="1">
        <v>45563</v>
      </c>
      <c r="C30" t="s">
        <v>35</v>
      </c>
      <c r="D30" t="s">
        <v>15</v>
      </c>
      <c r="E30">
        <v>5</v>
      </c>
      <c r="F30" s="2">
        <v>20</v>
      </c>
      <c r="G30" s="2">
        <v>100</v>
      </c>
    </row>
    <row r="31" spans="1:7" x14ac:dyDescent="0.25">
      <c r="A31">
        <v>32</v>
      </c>
      <c r="B31" s="1">
        <v>45640</v>
      </c>
      <c r="C31" t="s">
        <v>31</v>
      </c>
      <c r="D31" t="s">
        <v>15</v>
      </c>
      <c r="E31">
        <v>5</v>
      </c>
      <c r="F31" s="2">
        <v>30</v>
      </c>
      <c r="G31" s="2">
        <v>150</v>
      </c>
    </row>
    <row r="32" spans="1:7" x14ac:dyDescent="0.25">
      <c r="A32">
        <v>33</v>
      </c>
      <c r="B32" s="1">
        <v>45411</v>
      </c>
      <c r="C32" t="s">
        <v>17</v>
      </c>
      <c r="D32" t="s">
        <v>9</v>
      </c>
      <c r="E32">
        <v>2</v>
      </c>
      <c r="F32" s="2">
        <v>500</v>
      </c>
      <c r="G32" s="2">
        <v>1000</v>
      </c>
    </row>
    <row r="33" spans="1:7" x14ac:dyDescent="0.25">
      <c r="A33">
        <v>34</v>
      </c>
      <c r="B33" s="1">
        <v>45496</v>
      </c>
      <c r="C33" t="s">
        <v>31</v>
      </c>
      <c r="D33" t="s">
        <v>15</v>
      </c>
      <c r="E33">
        <v>4</v>
      </c>
      <c r="F33" s="2">
        <v>30</v>
      </c>
      <c r="G33" s="2">
        <v>120</v>
      </c>
    </row>
    <row r="34" spans="1:7" x14ac:dyDescent="0.25">
      <c r="A34">
        <v>35</v>
      </c>
      <c r="B34" s="1">
        <v>45373</v>
      </c>
      <c r="C34" t="s">
        <v>17</v>
      </c>
      <c r="D34" t="s">
        <v>9</v>
      </c>
      <c r="E34">
        <v>2</v>
      </c>
      <c r="F34" s="2">
        <v>500</v>
      </c>
      <c r="G34" s="2">
        <v>1000</v>
      </c>
    </row>
    <row r="35" spans="1:7" x14ac:dyDescent="0.25">
      <c r="A35">
        <v>36</v>
      </c>
      <c r="B35" s="1">
        <v>45336</v>
      </c>
      <c r="C35" t="s">
        <v>19</v>
      </c>
      <c r="D35" t="s">
        <v>12</v>
      </c>
      <c r="E35">
        <v>4</v>
      </c>
      <c r="F35" s="2">
        <v>200</v>
      </c>
      <c r="G35" s="2">
        <v>800</v>
      </c>
    </row>
    <row r="36" spans="1:7" x14ac:dyDescent="0.25">
      <c r="A36">
        <v>37</v>
      </c>
      <c r="B36" s="1">
        <v>45499</v>
      </c>
      <c r="C36" t="s">
        <v>19</v>
      </c>
      <c r="D36" t="s">
        <v>12</v>
      </c>
      <c r="E36">
        <v>2</v>
      </c>
      <c r="F36" s="2">
        <v>200</v>
      </c>
      <c r="G36" s="2">
        <v>400</v>
      </c>
    </row>
    <row r="37" spans="1:7" x14ac:dyDescent="0.25">
      <c r="A37">
        <v>38</v>
      </c>
      <c r="B37" s="1">
        <v>45604</v>
      </c>
      <c r="C37" t="s">
        <v>8</v>
      </c>
      <c r="D37" t="s">
        <v>9</v>
      </c>
      <c r="E37">
        <v>2</v>
      </c>
      <c r="F37" s="2">
        <v>300</v>
      </c>
      <c r="G37" s="2">
        <v>600</v>
      </c>
    </row>
    <row r="38" spans="1:7" x14ac:dyDescent="0.25">
      <c r="A38">
        <v>39</v>
      </c>
      <c r="B38" s="1">
        <v>45295</v>
      </c>
      <c r="C38" t="s">
        <v>27</v>
      </c>
      <c r="D38" t="s">
        <v>9</v>
      </c>
      <c r="E38">
        <v>2</v>
      </c>
      <c r="F38" s="2">
        <v>800</v>
      </c>
      <c r="G38" s="2">
        <v>1600</v>
      </c>
    </row>
    <row r="39" spans="1:7" x14ac:dyDescent="0.25">
      <c r="A39">
        <v>40</v>
      </c>
      <c r="B39" s="1">
        <v>45294</v>
      </c>
      <c r="C39" t="s">
        <v>14</v>
      </c>
      <c r="D39" t="s">
        <v>15</v>
      </c>
      <c r="E39">
        <v>1</v>
      </c>
      <c r="F39" s="2">
        <v>50</v>
      </c>
      <c r="G39" s="2">
        <v>50</v>
      </c>
    </row>
    <row r="40" spans="1:7" x14ac:dyDescent="0.25">
      <c r="A40">
        <v>41</v>
      </c>
      <c r="B40" s="1">
        <v>45340</v>
      </c>
      <c r="C40" t="s">
        <v>11</v>
      </c>
      <c r="D40" t="s">
        <v>12</v>
      </c>
      <c r="E40">
        <v>1</v>
      </c>
      <c r="F40" s="2">
        <v>120</v>
      </c>
      <c r="G40" s="2">
        <v>120</v>
      </c>
    </row>
    <row r="41" spans="1:7" x14ac:dyDescent="0.25">
      <c r="A41">
        <v>42</v>
      </c>
      <c r="B41" s="1">
        <v>45349</v>
      </c>
      <c r="C41" t="s">
        <v>8</v>
      </c>
      <c r="D41" t="s">
        <v>9</v>
      </c>
      <c r="E41">
        <v>2</v>
      </c>
      <c r="F41" s="2">
        <v>300</v>
      </c>
      <c r="G41" s="2">
        <v>600</v>
      </c>
    </row>
    <row r="42" spans="1:7" x14ac:dyDescent="0.25">
      <c r="A42">
        <v>43</v>
      </c>
      <c r="B42" s="1">
        <v>45396</v>
      </c>
      <c r="C42" t="s">
        <v>27</v>
      </c>
      <c r="D42" t="s">
        <v>9</v>
      </c>
      <c r="E42">
        <v>3</v>
      </c>
      <c r="F42" s="2">
        <v>800</v>
      </c>
      <c r="G42" s="2">
        <v>2400</v>
      </c>
    </row>
    <row r="43" spans="1:7" x14ac:dyDescent="0.25">
      <c r="A43">
        <v>44</v>
      </c>
      <c r="B43" s="1">
        <v>45493</v>
      </c>
      <c r="C43" t="s">
        <v>27</v>
      </c>
      <c r="D43" t="s">
        <v>9</v>
      </c>
      <c r="E43">
        <v>1</v>
      </c>
      <c r="F43" s="2">
        <v>800</v>
      </c>
      <c r="G43" s="2">
        <v>800</v>
      </c>
    </row>
    <row r="44" spans="1:7" x14ac:dyDescent="0.25">
      <c r="A44">
        <v>45</v>
      </c>
      <c r="B44" s="1">
        <v>45497</v>
      </c>
      <c r="C44" t="s">
        <v>11</v>
      </c>
      <c r="D44" t="s">
        <v>12</v>
      </c>
      <c r="E44">
        <v>3</v>
      </c>
      <c r="F44" s="2">
        <v>120</v>
      </c>
      <c r="G44" s="2">
        <v>360</v>
      </c>
    </row>
    <row r="45" spans="1:7" x14ac:dyDescent="0.25">
      <c r="A45">
        <v>46</v>
      </c>
      <c r="B45" s="1">
        <v>45430</v>
      </c>
      <c r="C45" t="s">
        <v>17</v>
      </c>
      <c r="D45" t="s">
        <v>9</v>
      </c>
      <c r="E45">
        <v>1</v>
      </c>
      <c r="F45" s="2">
        <v>500</v>
      </c>
      <c r="G45" s="2">
        <v>500</v>
      </c>
    </row>
    <row r="46" spans="1:7" x14ac:dyDescent="0.25">
      <c r="A46">
        <v>47</v>
      </c>
      <c r="B46" s="1">
        <v>45456</v>
      </c>
      <c r="C46" t="s">
        <v>11</v>
      </c>
      <c r="D46" t="s">
        <v>12</v>
      </c>
      <c r="E46">
        <v>3</v>
      </c>
      <c r="F46" s="2">
        <v>120</v>
      </c>
      <c r="G46" s="2">
        <v>360</v>
      </c>
    </row>
    <row r="47" spans="1:7" x14ac:dyDescent="0.25">
      <c r="A47">
        <v>48</v>
      </c>
      <c r="B47" s="1">
        <v>45618</v>
      </c>
      <c r="C47" t="s">
        <v>19</v>
      </c>
      <c r="D47" t="s">
        <v>12</v>
      </c>
      <c r="E47">
        <v>3</v>
      </c>
      <c r="F47" s="2">
        <v>200</v>
      </c>
      <c r="G47" s="2">
        <v>600</v>
      </c>
    </row>
    <row r="48" spans="1:7" x14ac:dyDescent="0.25">
      <c r="A48">
        <v>49</v>
      </c>
      <c r="B48" s="1">
        <v>45383</v>
      </c>
      <c r="C48" t="s">
        <v>27</v>
      </c>
      <c r="D48" t="s">
        <v>9</v>
      </c>
      <c r="E48">
        <v>1</v>
      </c>
      <c r="F48" s="2">
        <v>800</v>
      </c>
      <c r="G48" s="2">
        <v>800</v>
      </c>
    </row>
    <row r="49" spans="1:7" x14ac:dyDescent="0.25">
      <c r="A49">
        <v>50</v>
      </c>
      <c r="B49" s="1">
        <v>45305</v>
      </c>
      <c r="C49" t="s">
        <v>17</v>
      </c>
      <c r="D49" t="s">
        <v>9</v>
      </c>
      <c r="E49">
        <v>2</v>
      </c>
      <c r="F49" s="2">
        <v>500</v>
      </c>
      <c r="G49" s="2">
        <v>1000</v>
      </c>
    </row>
    <row r="50" spans="1:7" x14ac:dyDescent="0.25">
      <c r="A50">
        <v>51</v>
      </c>
      <c r="B50" s="1">
        <v>45629</v>
      </c>
      <c r="C50" t="s">
        <v>17</v>
      </c>
      <c r="D50" t="s">
        <v>9</v>
      </c>
      <c r="E50">
        <v>1</v>
      </c>
      <c r="F50" s="2">
        <v>500</v>
      </c>
      <c r="G50" s="2">
        <v>500</v>
      </c>
    </row>
    <row r="51" spans="1:7" x14ac:dyDescent="0.25">
      <c r="A51">
        <v>52</v>
      </c>
      <c r="B51" s="1">
        <v>45348</v>
      </c>
      <c r="C51" t="s">
        <v>17</v>
      </c>
      <c r="D51" t="s">
        <v>9</v>
      </c>
      <c r="E51">
        <v>4</v>
      </c>
      <c r="F51" s="2">
        <v>500</v>
      </c>
      <c r="G51" s="2">
        <v>2000</v>
      </c>
    </row>
    <row r="52" spans="1:7" x14ac:dyDescent="0.25">
      <c r="A52">
        <v>53</v>
      </c>
      <c r="B52" s="1">
        <v>45577</v>
      </c>
      <c r="C52" t="s">
        <v>19</v>
      </c>
      <c r="D52" t="s">
        <v>12</v>
      </c>
      <c r="E52">
        <v>5</v>
      </c>
      <c r="F52" s="2">
        <v>200</v>
      </c>
      <c r="G52" s="2">
        <v>1000</v>
      </c>
    </row>
    <row r="53" spans="1:7" x14ac:dyDescent="0.25">
      <c r="A53">
        <v>54</v>
      </c>
      <c r="B53" s="1">
        <v>45516</v>
      </c>
      <c r="C53" t="s">
        <v>14</v>
      </c>
      <c r="D53" t="s">
        <v>15</v>
      </c>
      <c r="E53">
        <v>2</v>
      </c>
      <c r="F53" s="2">
        <v>50</v>
      </c>
      <c r="G53" s="2">
        <v>100</v>
      </c>
    </row>
    <row r="54" spans="1:7" x14ac:dyDescent="0.25">
      <c r="A54">
        <v>55</v>
      </c>
      <c r="B54" s="1">
        <v>45465</v>
      </c>
      <c r="C54" t="s">
        <v>11</v>
      </c>
      <c r="D54" t="s">
        <v>12</v>
      </c>
      <c r="E54">
        <v>2</v>
      </c>
      <c r="F54" s="2">
        <v>120</v>
      </c>
      <c r="G54" s="2">
        <v>240</v>
      </c>
    </row>
    <row r="55" spans="1:7" x14ac:dyDescent="0.25">
      <c r="A55">
        <v>56</v>
      </c>
      <c r="B55" s="1">
        <v>45618</v>
      </c>
      <c r="C55" t="s">
        <v>11</v>
      </c>
      <c r="D55" t="s">
        <v>12</v>
      </c>
      <c r="E55">
        <v>4</v>
      </c>
      <c r="F55" s="2">
        <v>120</v>
      </c>
      <c r="G55" s="2">
        <v>480</v>
      </c>
    </row>
    <row r="56" spans="1:7" x14ac:dyDescent="0.25">
      <c r="A56">
        <v>57</v>
      </c>
      <c r="B56" s="1">
        <v>45383</v>
      </c>
      <c r="C56" t="s">
        <v>8</v>
      </c>
      <c r="D56" t="s">
        <v>9</v>
      </c>
      <c r="E56">
        <v>5</v>
      </c>
      <c r="F56" s="2">
        <v>300</v>
      </c>
      <c r="G56" s="2">
        <v>1500</v>
      </c>
    </row>
    <row r="57" spans="1:7" x14ac:dyDescent="0.25">
      <c r="A57">
        <v>58</v>
      </c>
      <c r="B57" s="1">
        <v>45435</v>
      </c>
      <c r="C57" t="s">
        <v>27</v>
      </c>
      <c r="D57" t="s">
        <v>9</v>
      </c>
      <c r="E57">
        <v>5</v>
      </c>
      <c r="F57" s="2">
        <v>800</v>
      </c>
      <c r="G57" s="2">
        <v>4000</v>
      </c>
    </row>
    <row r="58" spans="1:7" x14ac:dyDescent="0.25">
      <c r="A58">
        <v>59</v>
      </c>
      <c r="B58" s="1">
        <v>45638</v>
      </c>
      <c r="C58" t="s">
        <v>31</v>
      </c>
      <c r="D58" t="s">
        <v>15</v>
      </c>
      <c r="E58">
        <v>4</v>
      </c>
      <c r="F58" s="2">
        <v>30</v>
      </c>
      <c r="G58" s="2">
        <v>120</v>
      </c>
    </row>
    <row r="59" spans="1:7" x14ac:dyDescent="0.25">
      <c r="A59">
        <v>60</v>
      </c>
      <c r="B59" s="1">
        <v>45390</v>
      </c>
      <c r="C59" t="s">
        <v>27</v>
      </c>
      <c r="D59" t="s">
        <v>9</v>
      </c>
      <c r="E59">
        <v>1</v>
      </c>
      <c r="F59" s="2">
        <v>800</v>
      </c>
      <c r="G59" s="2">
        <v>800</v>
      </c>
    </row>
    <row r="60" spans="1:7" x14ac:dyDescent="0.25">
      <c r="A60">
        <v>61</v>
      </c>
      <c r="B60" s="1">
        <v>45338</v>
      </c>
      <c r="C60" t="s">
        <v>11</v>
      </c>
      <c r="D60" t="s">
        <v>12</v>
      </c>
      <c r="E60">
        <v>4</v>
      </c>
      <c r="F60" s="2">
        <v>120</v>
      </c>
      <c r="G60" s="2">
        <v>480</v>
      </c>
    </row>
    <row r="61" spans="1:7" x14ac:dyDescent="0.25">
      <c r="A61">
        <v>62</v>
      </c>
      <c r="B61" s="1">
        <v>45562</v>
      </c>
      <c r="C61" t="s">
        <v>14</v>
      </c>
      <c r="D61" t="s">
        <v>15</v>
      </c>
      <c r="E61">
        <v>2</v>
      </c>
      <c r="F61" s="2">
        <v>50</v>
      </c>
      <c r="G61" s="2">
        <v>100</v>
      </c>
    </row>
    <row r="62" spans="1:7" x14ac:dyDescent="0.25">
      <c r="A62">
        <v>63</v>
      </c>
      <c r="B62" s="1">
        <v>45409</v>
      </c>
      <c r="C62" t="s">
        <v>27</v>
      </c>
      <c r="D62" t="s">
        <v>9</v>
      </c>
      <c r="E62">
        <v>1</v>
      </c>
      <c r="F62" s="2">
        <v>800</v>
      </c>
      <c r="G62" s="2">
        <v>800</v>
      </c>
    </row>
    <row r="63" spans="1:7" x14ac:dyDescent="0.25">
      <c r="A63">
        <v>64</v>
      </c>
      <c r="B63" s="1">
        <v>45335</v>
      </c>
      <c r="C63" t="s">
        <v>8</v>
      </c>
      <c r="D63" t="s">
        <v>9</v>
      </c>
      <c r="E63">
        <v>2</v>
      </c>
      <c r="F63" s="2">
        <v>300</v>
      </c>
      <c r="G63" s="2">
        <v>600</v>
      </c>
    </row>
    <row r="64" spans="1:7" x14ac:dyDescent="0.25">
      <c r="A64">
        <v>65</v>
      </c>
      <c r="B64" s="1">
        <v>45305</v>
      </c>
      <c r="C64" t="s">
        <v>17</v>
      </c>
      <c r="D64" t="s">
        <v>9</v>
      </c>
      <c r="E64">
        <v>1</v>
      </c>
      <c r="F64" s="2">
        <v>500</v>
      </c>
      <c r="G64" s="2">
        <v>500</v>
      </c>
    </row>
    <row r="65" spans="1:7" x14ac:dyDescent="0.25">
      <c r="A65">
        <v>66</v>
      </c>
      <c r="B65" s="1">
        <v>45450</v>
      </c>
      <c r="C65" t="s">
        <v>31</v>
      </c>
      <c r="D65" t="s">
        <v>15</v>
      </c>
      <c r="E65">
        <v>5</v>
      </c>
      <c r="F65" s="2">
        <v>30</v>
      </c>
      <c r="G65" s="2">
        <v>150</v>
      </c>
    </row>
    <row r="66" spans="1:7" x14ac:dyDescent="0.25">
      <c r="A66">
        <v>67</v>
      </c>
      <c r="B66" s="1">
        <v>45376</v>
      </c>
      <c r="C66" t="s">
        <v>17</v>
      </c>
      <c r="D66" t="s">
        <v>9</v>
      </c>
      <c r="E66">
        <v>3</v>
      </c>
      <c r="F66" s="2">
        <v>500</v>
      </c>
      <c r="G66" s="2">
        <v>1500</v>
      </c>
    </row>
    <row r="67" spans="1:7" x14ac:dyDescent="0.25">
      <c r="A67">
        <v>68</v>
      </c>
      <c r="B67" s="1">
        <v>45416</v>
      </c>
      <c r="C67" t="s">
        <v>8</v>
      </c>
      <c r="D67" t="s">
        <v>9</v>
      </c>
      <c r="E67">
        <v>4</v>
      </c>
      <c r="F67" s="2">
        <v>300</v>
      </c>
      <c r="G67" s="2">
        <v>1200</v>
      </c>
    </row>
    <row r="68" spans="1:7" x14ac:dyDescent="0.25">
      <c r="A68">
        <v>69</v>
      </c>
      <c r="B68" s="1">
        <v>45371</v>
      </c>
      <c r="C68" t="s">
        <v>19</v>
      </c>
      <c r="D68" t="s">
        <v>12</v>
      </c>
      <c r="E68">
        <v>5</v>
      </c>
      <c r="F68" s="2">
        <v>200</v>
      </c>
      <c r="G68" s="2">
        <v>1000</v>
      </c>
    </row>
    <row r="69" spans="1:7" x14ac:dyDescent="0.25">
      <c r="A69">
        <v>70</v>
      </c>
      <c r="B69" s="1">
        <v>45601</v>
      </c>
      <c r="C69" t="s">
        <v>14</v>
      </c>
      <c r="D69" t="s">
        <v>15</v>
      </c>
      <c r="E69">
        <v>3</v>
      </c>
      <c r="F69" s="2">
        <v>50</v>
      </c>
      <c r="G69" s="2">
        <v>150</v>
      </c>
    </row>
    <row r="70" spans="1:7" x14ac:dyDescent="0.25">
      <c r="A70">
        <v>71</v>
      </c>
      <c r="B70" s="1">
        <v>45632</v>
      </c>
      <c r="C70" t="s">
        <v>17</v>
      </c>
      <c r="D70" t="s">
        <v>9</v>
      </c>
      <c r="E70">
        <v>4</v>
      </c>
      <c r="F70" s="2">
        <v>500</v>
      </c>
      <c r="G70" s="2">
        <v>2000</v>
      </c>
    </row>
    <row r="71" spans="1:7" x14ac:dyDescent="0.25">
      <c r="A71">
        <v>72</v>
      </c>
      <c r="B71" s="1">
        <v>45412</v>
      </c>
      <c r="C71" t="s">
        <v>11</v>
      </c>
      <c r="D71" t="s">
        <v>12</v>
      </c>
      <c r="E71">
        <v>2</v>
      </c>
      <c r="F71" s="2">
        <v>120</v>
      </c>
      <c r="G71" s="2">
        <v>240</v>
      </c>
    </row>
    <row r="72" spans="1:7" x14ac:dyDescent="0.25">
      <c r="A72">
        <v>73</v>
      </c>
      <c r="B72" s="1">
        <v>45312</v>
      </c>
      <c r="C72" t="s">
        <v>35</v>
      </c>
      <c r="D72" t="s">
        <v>15</v>
      </c>
      <c r="E72">
        <v>1</v>
      </c>
      <c r="F72" s="2">
        <v>20</v>
      </c>
      <c r="G72" s="2">
        <v>20</v>
      </c>
    </row>
    <row r="73" spans="1:7" x14ac:dyDescent="0.25">
      <c r="A73">
        <v>74</v>
      </c>
      <c r="B73" s="1">
        <v>45606</v>
      </c>
      <c r="C73" t="s">
        <v>35</v>
      </c>
      <c r="D73" t="s">
        <v>15</v>
      </c>
      <c r="E73">
        <v>5</v>
      </c>
      <c r="F73" s="2">
        <v>20</v>
      </c>
      <c r="G73" s="2">
        <v>100</v>
      </c>
    </row>
    <row r="74" spans="1:7" x14ac:dyDescent="0.25">
      <c r="A74">
        <v>75</v>
      </c>
      <c r="B74" s="1">
        <v>45613</v>
      </c>
      <c r="C74" t="s">
        <v>35</v>
      </c>
      <c r="D74" t="s">
        <v>15</v>
      </c>
      <c r="E74">
        <v>2</v>
      </c>
      <c r="F74" s="2">
        <v>20</v>
      </c>
      <c r="G74" s="2">
        <v>40</v>
      </c>
    </row>
    <row r="75" spans="1:7" x14ac:dyDescent="0.25">
      <c r="A75">
        <v>76</v>
      </c>
      <c r="B75" s="1">
        <v>45509</v>
      </c>
      <c r="C75" t="s">
        <v>14</v>
      </c>
      <c r="D75" t="s">
        <v>15</v>
      </c>
      <c r="E75">
        <v>2</v>
      </c>
      <c r="F75" s="2">
        <v>50</v>
      </c>
      <c r="G75" s="2">
        <v>100</v>
      </c>
    </row>
    <row r="76" spans="1:7" x14ac:dyDescent="0.25">
      <c r="A76">
        <v>77</v>
      </c>
      <c r="B76" s="1">
        <v>45570</v>
      </c>
      <c r="C76" t="s">
        <v>27</v>
      </c>
      <c r="D76" t="s">
        <v>9</v>
      </c>
      <c r="E76">
        <v>1</v>
      </c>
      <c r="F76" s="2">
        <v>800</v>
      </c>
      <c r="G76" s="2">
        <v>800</v>
      </c>
    </row>
    <row r="77" spans="1:7" x14ac:dyDescent="0.25">
      <c r="A77">
        <v>78</v>
      </c>
      <c r="B77" s="1">
        <v>45409</v>
      </c>
      <c r="C77" t="s">
        <v>31</v>
      </c>
      <c r="D77" t="s">
        <v>15</v>
      </c>
      <c r="E77">
        <v>5</v>
      </c>
      <c r="F77" s="2">
        <v>30</v>
      </c>
      <c r="G77" s="2">
        <v>150</v>
      </c>
    </row>
    <row r="78" spans="1:7" x14ac:dyDescent="0.25">
      <c r="A78">
        <v>79</v>
      </c>
      <c r="B78" s="1">
        <v>45552</v>
      </c>
      <c r="C78" t="s">
        <v>17</v>
      </c>
      <c r="D78" t="s">
        <v>9</v>
      </c>
      <c r="E78">
        <v>2</v>
      </c>
      <c r="F78" s="2">
        <v>500</v>
      </c>
      <c r="G78" s="2">
        <v>1000</v>
      </c>
    </row>
    <row r="79" spans="1:7" x14ac:dyDescent="0.25">
      <c r="A79">
        <v>80</v>
      </c>
      <c r="B79" s="1">
        <v>45553</v>
      </c>
      <c r="C79" t="s">
        <v>35</v>
      </c>
      <c r="D79" t="s">
        <v>15</v>
      </c>
      <c r="E79">
        <v>1</v>
      </c>
      <c r="F79" s="2">
        <v>20</v>
      </c>
      <c r="G79" s="2">
        <v>20</v>
      </c>
    </row>
    <row r="80" spans="1:7" x14ac:dyDescent="0.25">
      <c r="A80">
        <v>81</v>
      </c>
      <c r="B80" s="1">
        <v>45453</v>
      </c>
      <c r="C80" t="s">
        <v>31</v>
      </c>
      <c r="D80" t="s">
        <v>15</v>
      </c>
      <c r="E80">
        <v>3</v>
      </c>
      <c r="F80" s="2">
        <v>30</v>
      </c>
      <c r="G80" s="2">
        <v>90</v>
      </c>
    </row>
    <row r="81" spans="1:7" x14ac:dyDescent="0.25">
      <c r="A81">
        <v>82</v>
      </c>
      <c r="B81" s="1">
        <v>45633</v>
      </c>
      <c r="C81" t="s">
        <v>35</v>
      </c>
      <c r="D81" t="s">
        <v>15</v>
      </c>
      <c r="E81">
        <v>1</v>
      </c>
      <c r="F81" s="2">
        <v>20</v>
      </c>
      <c r="G81" s="2">
        <v>20</v>
      </c>
    </row>
    <row r="82" spans="1:7" x14ac:dyDescent="0.25">
      <c r="A82">
        <v>83</v>
      </c>
      <c r="B82" s="1">
        <v>45649</v>
      </c>
      <c r="C82" t="s">
        <v>11</v>
      </c>
      <c r="D82" t="s">
        <v>12</v>
      </c>
      <c r="E82">
        <v>3</v>
      </c>
      <c r="F82" s="2">
        <v>120</v>
      </c>
      <c r="G82" s="2">
        <v>360</v>
      </c>
    </row>
    <row r="83" spans="1:7" x14ac:dyDescent="0.25">
      <c r="A83">
        <v>84</v>
      </c>
      <c r="B83" s="1">
        <v>45551</v>
      </c>
      <c r="C83" t="s">
        <v>8</v>
      </c>
      <c r="D83" t="s">
        <v>9</v>
      </c>
      <c r="E83">
        <v>2</v>
      </c>
      <c r="F83" s="2">
        <v>300</v>
      </c>
      <c r="G83" s="2">
        <v>600</v>
      </c>
    </row>
    <row r="84" spans="1:7" x14ac:dyDescent="0.25">
      <c r="A84">
        <v>86</v>
      </c>
      <c r="B84" s="1">
        <v>45393</v>
      </c>
      <c r="C84" t="s">
        <v>17</v>
      </c>
      <c r="D84" t="s">
        <v>9</v>
      </c>
      <c r="E84">
        <v>2</v>
      </c>
      <c r="F84" s="2">
        <v>500</v>
      </c>
      <c r="G84" s="2">
        <v>1000</v>
      </c>
    </row>
    <row r="85" spans="1:7" x14ac:dyDescent="0.25">
      <c r="A85">
        <v>87</v>
      </c>
      <c r="B85" s="1">
        <v>45335</v>
      </c>
      <c r="C85" t="s">
        <v>19</v>
      </c>
      <c r="D85" t="s">
        <v>12</v>
      </c>
      <c r="E85">
        <v>2</v>
      </c>
      <c r="F85" s="2">
        <v>200</v>
      </c>
      <c r="G85" s="2">
        <v>400</v>
      </c>
    </row>
    <row r="86" spans="1:7" x14ac:dyDescent="0.25">
      <c r="A86">
        <v>88</v>
      </c>
      <c r="B86" s="1">
        <v>45368</v>
      </c>
      <c r="C86" t="s">
        <v>14</v>
      </c>
      <c r="D86" t="s">
        <v>15</v>
      </c>
      <c r="E86">
        <v>2</v>
      </c>
      <c r="F86" s="2">
        <v>50</v>
      </c>
      <c r="G86" s="2">
        <v>100</v>
      </c>
    </row>
    <row r="87" spans="1:7" x14ac:dyDescent="0.25">
      <c r="A87">
        <v>89</v>
      </c>
      <c r="B87" s="1">
        <v>45402</v>
      </c>
      <c r="C87" t="s">
        <v>19</v>
      </c>
      <c r="D87" t="s">
        <v>12</v>
      </c>
      <c r="E87">
        <v>1</v>
      </c>
      <c r="F87" s="2">
        <v>200</v>
      </c>
      <c r="G87" s="2">
        <v>200</v>
      </c>
    </row>
    <row r="88" spans="1:7" x14ac:dyDescent="0.25">
      <c r="A88">
        <v>90</v>
      </c>
      <c r="B88" s="1">
        <v>45471</v>
      </c>
      <c r="C88" t="s">
        <v>31</v>
      </c>
      <c r="D88" t="s">
        <v>15</v>
      </c>
      <c r="E88">
        <v>5</v>
      </c>
      <c r="F88" s="2">
        <v>30</v>
      </c>
      <c r="G88" s="2">
        <v>150</v>
      </c>
    </row>
    <row r="89" spans="1:7" x14ac:dyDescent="0.25">
      <c r="A89">
        <v>91</v>
      </c>
      <c r="B89" s="1">
        <v>45571</v>
      </c>
      <c r="C89" t="s">
        <v>14</v>
      </c>
      <c r="D89" t="s">
        <v>15</v>
      </c>
      <c r="E89">
        <v>1</v>
      </c>
      <c r="F89" s="2">
        <v>50</v>
      </c>
      <c r="G89" s="2">
        <v>50</v>
      </c>
    </row>
    <row r="90" spans="1:7" x14ac:dyDescent="0.25">
      <c r="A90">
        <v>92</v>
      </c>
      <c r="B90" s="1">
        <v>45294</v>
      </c>
      <c r="C90" t="s">
        <v>31</v>
      </c>
      <c r="D90" t="s">
        <v>15</v>
      </c>
      <c r="E90">
        <v>5</v>
      </c>
      <c r="F90" s="2">
        <v>30</v>
      </c>
      <c r="G90" s="2">
        <v>150</v>
      </c>
    </row>
    <row r="91" spans="1:7" x14ac:dyDescent="0.25">
      <c r="A91">
        <v>93</v>
      </c>
      <c r="B91" s="1">
        <v>45642</v>
      </c>
      <c r="C91" t="s">
        <v>35</v>
      </c>
      <c r="D91" t="s">
        <v>15</v>
      </c>
      <c r="E91">
        <v>1</v>
      </c>
      <c r="F91" s="2">
        <v>20</v>
      </c>
      <c r="G91" s="2">
        <v>20</v>
      </c>
    </row>
    <row r="92" spans="1:7" x14ac:dyDescent="0.25">
      <c r="A92">
        <v>94</v>
      </c>
      <c r="B92" s="1">
        <v>45503</v>
      </c>
      <c r="C92" t="s">
        <v>27</v>
      </c>
      <c r="D92" t="s">
        <v>9</v>
      </c>
      <c r="E92">
        <v>2</v>
      </c>
      <c r="F92" s="2">
        <v>800</v>
      </c>
      <c r="G92" s="2">
        <v>1600</v>
      </c>
    </row>
    <row r="93" spans="1:7" x14ac:dyDescent="0.25">
      <c r="A93">
        <v>95</v>
      </c>
      <c r="B93" s="1">
        <v>45635</v>
      </c>
      <c r="C93" t="s">
        <v>19</v>
      </c>
      <c r="D93" t="s">
        <v>12</v>
      </c>
      <c r="E93">
        <v>1</v>
      </c>
      <c r="F93" s="2">
        <v>200</v>
      </c>
      <c r="G93" s="2">
        <v>200</v>
      </c>
    </row>
    <row r="94" spans="1:7" x14ac:dyDescent="0.25">
      <c r="A94">
        <v>96</v>
      </c>
      <c r="B94" s="1">
        <v>45652</v>
      </c>
      <c r="C94" t="s">
        <v>11</v>
      </c>
      <c r="D94" t="s">
        <v>12</v>
      </c>
      <c r="E94">
        <v>1</v>
      </c>
      <c r="F94" s="2">
        <v>120</v>
      </c>
      <c r="G94" s="2">
        <v>120</v>
      </c>
    </row>
    <row r="95" spans="1:7" x14ac:dyDescent="0.25">
      <c r="A95">
        <v>97</v>
      </c>
      <c r="B95" s="1">
        <v>45631</v>
      </c>
      <c r="C95" t="s">
        <v>8</v>
      </c>
      <c r="D95" t="s">
        <v>9</v>
      </c>
      <c r="E95">
        <v>4</v>
      </c>
      <c r="F95" s="2">
        <v>300</v>
      </c>
      <c r="G95" s="2">
        <v>1200</v>
      </c>
    </row>
    <row r="96" spans="1:7" x14ac:dyDescent="0.25">
      <c r="A96">
        <v>98</v>
      </c>
      <c r="B96" s="1">
        <v>45625</v>
      </c>
      <c r="C96" t="s">
        <v>8</v>
      </c>
      <c r="D96" t="s">
        <v>9</v>
      </c>
      <c r="E96">
        <v>4</v>
      </c>
      <c r="F96" s="2">
        <v>300</v>
      </c>
      <c r="G96" s="2">
        <v>1200</v>
      </c>
    </row>
    <row r="97" spans="1:7" x14ac:dyDescent="0.25">
      <c r="A97">
        <v>99</v>
      </c>
      <c r="B97" s="1">
        <v>45298</v>
      </c>
      <c r="C97" t="s">
        <v>35</v>
      </c>
      <c r="D97" t="s">
        <v>15</v>
      </c>
      <c r="E97">
        <v>4</v>
      </c>
      <c r="F97" s="2">
        <v>20</v>
      </c>
      <c r="G97" s="2">
        <v>80</v>
      </c>
    </row>
    <row r="98" spans="1:7" x14ac:dyDescent="0.25">
      <c r="A98">
        <v>100</v>
      </c>
      <c r="B98" s="1">
        <v>45317</v>
      </c>
      <c r="C98" t="s">
        <v>35</v>
      </c>
      <c r="D98" t="s">
        <v>15</v>
      </c>
      <c r="E98">
        <v>2</v>
      </c>
      <c r="F98" s="2">
        <v>20</v>
      </c>
      <c r="G98" s="2">
        <v>40</v>
      </c>
    </row>
    <row r="99" spans="1:7" x14ac:dyDescent="0.25">
      <c r="A99">
        <v>101</v>
      </c>
      <c r="B99" s="1">
        <v>45649</v>
      </c>
      <c r="C99" t="s">
        <v>11</v>
      </c>
      <c r="D99" t="s">
        <v>12</v>
      </c>
      <c r="E99">
        <v>5</v>
      </c>
      <c r="F99" s="2">
        <v>120</v>
      </c>
      <c r="G99" s="2">
        <v>600</v>
      </c>
    </row>
    <row r="100" spans="1:7" x14ac:dyDescent="0.25">
      <c r="A100">
        <v>102</v>
      </c>
      <c r="B100" s="1">
        <v>45557</v>
      </c>
      <c r="C100" t="s">
        <v>19</v>
      </c>
      <c r="D100" t="s">
        <v>12</v>
      </c>
      <c r="E100">
        <v>2</v>
      </c>
      <c r="F100" s="2">
        <v>200</v>
      </c>
      <c r="G100" s="2">
        <v>400</v>
      </c>
    </row>
    <row r="101" spans="1:7" x14ac:dyDescent="0.25">
      <c r="A101">
        <v>103</v>
      </c>
      <c r="B101" s="1">
        <v>45376</v>
      </c>
      <c r="C101" t="s">
        <v>14</v>
      </c>
      <c r="D101" t="s">
        <v>15</v>
      </c>
      <c r="E101">
        <v>4</v>
      </c>
      <c r="F101" s="2">
        <v>50</v>
      </c>
      <c r="G101" s="2">
        <v>200</v>
      </c>
    </row>
    <row r="102" spans="1:7" x14ac:dyDescent="0.25">
      <c r="A102">
        <v>104</v>
      </c>
      <c r="B102" s="1">
        <v>45614</v>
      </c>
      <c r="C102" t="s">
        <v>11</v>
      </c>
      <c r="D102" t="s">
        <v>12</v>
      </c>
      <c r="E102">
        <v>2</v>
      </c>
      <c r="F102" s="2">
        <v>120</v>
      </c>
      <c r="G102" s="2">
        <v>240</v>
      </c>
    </row>
    <row r="103" spans="1:7" x14ac:dyDescent="0.25">
      <c r="A103">
        <v>105</v>
      </c>
      <c r="B103" s="1">
        <v>45425</v>
      </c>
      <c r="C103" t="s">
        <v>19</v>
      </c>
      <c r="D103" t="s">
        <v>12</v>
      </c>
      <c r="E103">
        <v>5</v>
      </c>
      <c r="F103" s="2">
        <v>200</v>
      </c>
      <c r="G103" s="2">
        <v>1000</v>
      </c>
    </row>
    <row r="104" spans="1:7" x14ac:dyDescent="0.25">
      <c r="A104">
        <v>106</v>
      </c>
      <c r="B104" s="1">
        <v>45317</v>
      </c>
      <c r="C104" t="s">
        <v>11</v>
      </c>
      <c r="D104" t="s">
        <v>12</v>
      </c>
      <c r="E104">
        <v>5</v>
      </c>
      <c r="F104" s="2">
        <v>120</v>
      </c>
      <c r="G104" s="2">
        <v>600</v>
      </c>
    </row>
    <row r="105" spans="1:7" x14ac:dyDescent="0.25">
      <c r="A105">
        <v>107</v>
      </c>
      <c r="B105" s="1">
        <v>45502</v>
      </c>
      <c r="C105" t="s">
        <v>19</v>
      </c>
      <c r="D105" t="s">
        <v>12</v>
      </c>
      <c r="E105">
        <v>1</v>
      </c>
      <c r="F105" s="2">
        <v>200</v>
      </c>
      <c r="G105" s="2">
        <v>200</v>
      </c>
    </row>
    <row r="106" spans="1:7" x14ac:dyDescent="0.25">
      <c r="A106">
        <v>108</v>
      </c>
      <c r="B106" s="1">
        <v>45505</v>
      </c>
      <c r="C106" t="s">
        <v>31</v>
      </c>
      <c r="D106" t="s">
        <v>15</v>
      </c>
      <c r="E106">
        <v>5</v>
      </c>
      <c r="F106" s="2">
        <v>30</v>
      </c>
      <c r="G106" s="2">
        <v>150</v>
      </c>
    </row>
    <row r="107" spans="1:7" x14ac:dyDescent="0.25">
      <c r="A107">
        <v>109</v>
      </c>
      <c r="B107" s="1">
        <v>45599</v>
      </c>
      <c r="C107" t="s">
        <v>17</v>
      </c>
      <c r="D107" t="s">
        <v>9</v>
      </c>
      <c r="E107">
        <v>5</v>
      </c>
      <c r="F107" s="2">
        <v>500</v>
      </c>
      <c r="G107" s="2">
        <v>2500</v>
      </c>
    </row>
    <row r="108" spans="1:7" x14ac:dyDescent="0.25">
      <c r="A108">
        <v>110</v>
      </c>
      <c r="B108" s="1">
        <v>45492</v>
      </c>
      <c r="C108" t="s">
        <v>31</v>
      </c>
      <c r="D108" t="s">
        <v>15</v>
      </c>
      <c r="E108">
        <v>1</v>
      </c>
      <c r="F108" s="2">
        <v>30</v>
      </c>
      <c r="G108" s="2">
        <v>30</v>
      </c>
    </row>
    <row r="109" spans="1:7" x14ac:dyDescent="0.25">
      <c r="A109">
        <v>111</v>
      </c>
      <c r="B109" s="1">
        <v>45490</v>
      </c>
      <c r="C109" t="s">
        <v>27</v>
      </c>
      <c r="D109" t="s">
        <v>9</v>
      </c>
      <c r="E109">
        <v>3</v>
      </c>
      <c r="F109" s="2">
        <v>800</v>
      </c>
      <c r="G109" s="2">
        <v>2400</v>
      </c>
    </row>
    <row r="110" spans="1:7" x14ac:dyDescent="0.25">
      <c r="A110">
        <v>112</v>
      </c>
      <c r="B110" s="1">
        <v>45631</v>
      </c>
      <c r="C110" t="s">
        <v>31</v>
      </c>
      <c r="D110" t="s">
        <v>15</v>
      </c>
      <c r="E110">
        <v>2</v>
      </c>
      <c r="F110" s="2">
        <v>30</v>
      </c>
      <c r="G110" s="2">
        <v>60</v>
      </c>
    </row>
    <row r="111" spans="1:7" x14ac:dyDescent="0.25">
      <c r="A111">
        <v>113</v>
      </c>
      <c r="B111" s="1">
        <v>45526</v>
      </c>
      <c r="C111" t="s">
        <v>17</v>
      </c>
      <c r="D111" t="s">
        <v>9</v>
      </c>
      <c r="E111">
        <v>5</v>
      </c>
      <c r="F111" s="2">
        <v>500</v>
      </c>
      <c r="G111" s="2">
        <v>2500</v>
      </c>
    </row>
    <row r="112" spans="1:7" x14ac:dyDescent="0.25">
      <c r="A112">
        <v>114</v>
      </c>
      <c r="B112" s="1">
        <v>45293</v>
      </c>
      <c r="C112" t="s">
        <v>14</v>
      </c>
      <c r="D112" t="s">
        <v>15</v>
      </c>
      <c r="E112">
        <v>1</v>
      </c>
      <c r="F112" s="2">
        <v>50</v>
      </c>
      <c r="G112" s="2">
        <v>50</v>
      </c>
    </row>
    <row r="113" spans="1:7" x14ac:dyDescent="0.25">
      <c r="A113">
        <v>115</v>
      </c>
      <c r="B113" s="1">
        <v>45309</v>
      </c>
      <c r="C113" t="s">
        <v>35</v>
      </c>
      <c r="D113" t="s">
        <v>15</v>
      </c>
      <c r="E113">
        <v>4</v>
      </c>
      <c r="F113" s="2">
        <v>20</v>
      </c>
      <c r="G113" s="2">
        <v>80</v>
      </c>
    </row>
    <row r="114" spans="1:7" x14ac:dyDescent="0.25">
      <c r="A114">
        <v>116</v>
      </c>
      <c r="B114" s="1">
        <v>45338</v>
      </c>
      <c r="C114" t="s">
        <v>31</v>
      </c>
      <c r="D114" t="s">
        <v>15</v>
      </c>
      <c r="E114">
        <v>4</v>
      </c>
      <c r="F114" s="2">
        <v>30</v>
      </c>
      <c r="G114" s="2">
        <v>120</v>
      </c>
    </row>
    <row r="115" spans="1:7" x14ac:dyDescent="0.25">
      <c r="A115">
        <v>117</v>
      </c>
      <c r="B115" s="1">
        <v>45646</v>
      </c>
      <c r="C115" t="s">
        <v>31</v>
      </c>
      <c r="D115" t="s">
        <v>15</v>
      </c>
      <c r="E115">
        <v>3</v>
      </c>
      <c r="F115" s="2">
        <v>30</v>
      </c>
      <c r="G115" s="2">
        <v>90</v>
      </c>
    </row>
    <row r="116" spans="1:7" x14ac:dyDescent="0.25">
      <c r="A116">
        <v>118</v>
      </c>
      <c r="B116" s="1">
        <v>45473</v>
      </c>
      <c r="C116" t="s">
        <v>35</v>
      </c>
      <c r="D116" t="s">
        <v>15</v>
      </c>
      <c r="E116">
        <v>5</v>
      </c>
      <c r="F116" s="2">
        <v>20</v>
      </c>
      <c r="G116" s="2">
        <v>100</v>
      </c>
    </row>
    <row r="117" spans="1:7" x14ac:dyDescent="0.25">
      <c r="A117">
        <v>119</v>
      </c>
      <c r="B117" s="1">
        <v>45351</v>
      </c>
      <c r="C117" t="s">
        <v>8</v>
      </c>
      <c r="D117" t="s">
        <v>9</v>
      </c>
      <c r="E117">
        <v>4</v>
      </c>
      <c r="F117" s="2">
        <v>300</v>
      </c>
      <c r="G117" s="2">
        <v>1200</v>
      </c>
    </row>
    <row r="118" spans="1:7" x14ac:dyDescent="0.25">
      <c r="A118">
        <v>120</v>
      </c>
      <c r="B118" s="1">
        <v>45316</v>
      </c>
      <c r="C118" t="s">
        <v>14</v>
      </c>
      <c r="D118" t="s">
        <v>15</v>
      </c>
      <c r="E118">
        <v>4</v>
      </c>
      <c r="F118" s="2">
        <v>50</v>
      </c>
      <c r="G118" s="2">
        <v>200</v>
      </c>
    </row>
    <row r="119" spans="1:7" x14ac:dyDescent="0.25">
      <c r="A119">
        <v>121</v>
      </c>
      <c r="B119" s="1">
        <v>45385</v>
      </c>
      <c r="C119" t="s">
        <v>17</v>
      </c>
      <c r="D119" t="s">
        <v>9</v>
      </c>
      <c r="E119">
        <v>3</v>
      </c>
      <c r="F119" s="2">
        <v>500</v>
      </c>
      <c r="G119" s="2">
        <v>1500</v>
      </c>
    </row>
    <row r="120" spans="1:7" x14ac:dyDescent="0.25">
      <c r="A120">
        <v>123</v>
      </c>
      <c r="B120" s="1">
        <v>45626</v>
      </c>
      <c r="C120" t="s">
        <v>17</v>
      </c>
      <c r="D120" t="s">
        <v>9</v>
      </c>
      <c r="E120">
        <v>3</v>
      </c>
      <c r="F120" s="2">
        <v>500</v>
      </c>
      <c r="G120" s="2">
        <v>1500</v>
      </c>
    </row>
    <row r="121" spans="1:7" x14ac:dyDescent="0.25">
      <c r="A121">
        <v>124</v>
      </c>
      <c r="B121" s="1">
        <v>45482</v>
      </c>
      <c r="C121" t="s">
        <v>11</v>
      </c>
      <c r="D121" t="s">
        <v>12</v>
      </c>
      <c r="E121">
        <v>5</v>
      </c>
      <c r="F121" s="2">
        <v>120</v>
      </c>
      <c r="G121" s="2">
        <v>600</v>
      </c>
    </row>
    <row r="122" spans="1:7" x14ac:dyDescent="0.25">
      <c r="A122">
        <v>125</v>
      </c>
      <c r="B122" s="1">
        <v>45393</v>
      </c>
      <c r="C122" t="s">
        <v>14</v>
      </c>
      <c r="D122" t="s">
        <v>15</v>
      </c>
      <c r="E122">
        <v>2</v>
      </c>
      <c r="F122" s="2">
        <v>50</v>
      </c>
      <c r="G122" s="2">
        <v>100</v>
      </c>
    </row>
    <row r="123" spans="1:7" x14ac:dyDescent="0.25">
      <c r="A123">
        <v>126</v>
      </c>
      <c r="B123" s="1">
        <v>45364</v>
      </c>
      <c r="C123" t="s">
        <v>31</v>
      </c>
      <c r="D123" t="s">
        <v>15</v>
      </c>
      <c r="E123">
        <v>4</v>
      </c>
      <c r="F123" s="2">
        <v>30</v>
      </c>
      <c r="G123" s="2">
        <v>120</v>
      </c>
    </row>
    <row r="124" spans="1:7" x14ac:dyDescent="0.25">
      <c r="A124">
        <v>127</v>
      </c>
      <c r="B124" s="1">
        <v>45381</v>
      </c>
      <c r="C124" t="s">
        <v>27</v>
      </c>
      <c r="D124" t="s">
        <v>9</v>
      </c>
      <c r="E124">
        <v>2</v>
      </c>
      <c r="F124" s="2">
        <v>800</v>
      </c>
      <c r="G124" s="2">
        <v>1600</v>
      </c>
    </row>
    <row r="125" spans="1:7" x14ac:dyDescent="0.25">
      <c r="A125">
        <v>128</v>
      </c>
      <c r="B125" s="1">
        <v>45607</v>
      </c>
      <c r="C125" t="s">
        <v>11</v>
      </c>
      <c r="D125" t="s">
        <v>12</v>
      </c>
      <c r="E125">
        <v>2</v>
      </c>
      <c r="F125" s="2">
        <v>120</v>
      </c>
      <c r="G125" s="2">
        <v>240</v>
      </c>
    </row>
    <row r="126" spans="1:7" x14ac:dyDescent="0.25">
      <c r="A126">
        <v>129</v>
      </c>
      <c r="B126" s="1">
        <v>45413</v>
      </c>
      <c r="C126" t="s">
        <v>19</v>
      </c>
      <c r="D126" t="s">
        <v>12</v>
      </c>
      <c r="E126">
        <v>1</v>
      </c>
      <c r="F126" s="2">
        <v>200</v>
      </c>
      <c r="G126" s="2">
        <v>200</v>
      </c>
    </row>
    <row r="127" spans="1:7" x14ac:dyDescent="0.25">
      <c r="A127">
        <v>130</v>
      </c>
      <c r="B127" s="1">
        <v>45640</v>
      </c>
      <c r="C127" t="s">
        <v>27</v>
      </c>
      <c r="D127" t="s">
        <v>9</v>
      </c>
      <c r="E127">
        <v>1</v>
      </c>
      <c r="F127" s="2">
        <v>800</v>
      </c>
      <c r="G127" s="2">
        <v>800</v>
      </c>
    </row>
    <row r="128" spans="1:7" x14ac:dyDescent="0.25">
      <c r="A128">
        <v>131</v>
      </c>
      <c r="B128" s="1">
        <v>45523</v>
      </c>
      <c r="C128" t="s">
        <v>35</v>
      </c>
      <c r="D128" t="s">
        <v>15</v>
      </c>
      <c r="E128">
        <v>5</v>
      </c>
      <c r="F128" s="2">
        <v>20</v>
      </c>
      <c r="G128" s="2">
        <v>100</v>
      </c>
    </row>
    <row r="129" spans="1:7" x14ac:dyDescent="0.25">
      <c r="A129">
        <v>132</v>
      </c>
      <c r="B129" s="1">
        <v>45383</v>
      </c>
      <c r="C129" t="s">
        <v>31</v>
      </c>
      <c r="D129" t="s">
        <v>15</v>
      </c>
      <c r="E129">
        <v>4</v>
      </c>
      <c r="F129" s="2">
        <v>30</v>
      </c>
      <c r="G129" s="2">
        <v>120</v>
      </c>
    </row>
    <row r="130" spans="1:7" x14ac:dyDescent="0.25">
      <c r="A130">
        <v>133</v>
      </c>
      <c r="B130" s="1">
        <v>45374</v>
      </c>
      <c r="C130" t="s">
        <v>11</v>
      </c>
      <c r="D130" t="s">
        <v>12</v>
      </c>
      <c r="E130">
        <v>1</v>
      </c>
      <c r="F130" s="2">
        <v>120</v>
      </c>
      <c r="G130" s="2">
        <v>120</v>
      </c>
    </row>
    <row r="131" spans="1:7" x14ac:dyDescent="0.25">
      <c r="A131">
        <v>134</v>
      </c>
      <c r="B131" s="1">
        <v>45321</v>
      </c>
      <c r="C131" t="s">
        <v>31</v>
      </c>
      <c r="D131" t="s">
        <v>15</v>
      </c>
      <c r="E131">
        <v>4</v>
      </c>
      <c r="F131" s="2">
        <v>30</v>
      </c>
      <c r="G131" s="2">
        <v>120</v>
      </c>
    </row>
    <row r="132" spans="1:7" x14ac:dyDescent="0.25">
      <c r="A132">
        <v>135</v>
      </c>
      <c r="B132" s="1">
        <v>45514</v>
      </c>
      <c r="C132" t="s">
        <v>35</v>
      </c>
      <c r="D132" t="s">
        <v>15</v>
      </c>
      <c r="E132">
        <v>1</v>
      </c>
      <c r="F132" s="2">
        <v>20</v>
      </c>
      <c r="G132" s="2">
        <v>20</v>
      </c>
    </row>
    <row r="133" spans="1:7" x14ac:dyDescent="0.25">
      <c r="A133">
        <v>136</v>
      </c>
      <c r="B133" s="1">
        <v>45351</v>
      </c>
      <c r="C133" t="s">
        <v>17</v>
      </c>
      <c r="D133" t="s">
        <v>9</v>
      </c>
      <c r="E133">
        <v>5</v>
      </c>
      <c r="F133" s="2">
        <v>500</v>
      </c>
      <c r="G133" s="2">
        <v>2500</v>
      </c>
    </row>
    <row r="134" spans="1:7" x14ac:dyDescent="0.25">
      <c r="A134">
        <v>137</v>
      </c>
      <c r="B134" s="1">
        <v>45508</v>
      </c>
      <c r="C134" t="s">
        <v>11</v>
      </c>
      <c r="D134" t="s">
        <v>12</v>
      </c>
      <c r="E134">
        <v>5</v>
      </c>
      <c r="F134" s="2">
        <v>120</v>
      </c>
      <c r="G134" s="2">
        <v>600</v>
      </c>
    </row>
    <row r="135" spans="1:7" x14ac:dyDescent="0.25">
      <c r="A135">
        <v>138</v>
      </c>
      <c r="B135" s="1">
        <v>45330</v>
      </c>
      <c r="C135" t="s">
        <v>11</v>
      </c>
      <c r="D135" t="s">
        <v>12</v>
      </c>
      <c r="E135">
        <v>2</v>
      </c>
      <c r="F135" s="2">
        <v>120</v>
      </c>
      <c r="G135" s="2">
        <v>240</v>
      </c>
    </row>
    <row r="136" spans="1:7" x14ac:dyDescent="0.25">
      <c r="A136">
        <v>139</v>
      </c>
      <c r="B136" s="1">
        <v>45526</v>
      </c>
      <c r="C136" t="s">
        <v>8</v>
      </c>
      <c r="D136" t="s">
        <v>9</v>
      </c>
      <c r="E136">
        <v>5</v>
      </c>
      <c r="F136" s="2">
        <v>300</v>
      </c>
      <c r="G136" s="2">
        <v>1500</v>
      </c>
    </row>
    <row r="137" spans="1:7" x14ac:dyDescent="0.25">
      <c r="A137">
        <v>140</v>
      </c>
      <c r="B137" s="1">
        <v>45591</v>
      </c>
      <c r="C137" t="s">
        <v>31</v>
      </c>
      <c r="D137" t="s">
        <v>15</v>
      </c>
      <c r="E137">
        <v>3</v>
      </c>
      <c r="F137" s="2">
        <v>30</v>
      </c>
      <c r="G137" s="2">
        <v>90</v>
      </c>
    </row>
    <row r="138" spans="1:7" x14ac:dyDescent="0.25">
      <c r="A138">
        <v>141</v>
      </c>
      <c r="B138" s="1">
        <v>45318</v>
      </c>
      <c r="C138" t="s">
        <v>31</v>
      </c>
      <c r="D138" t="s">
        <v>15</v>
      </c>
      <c r="E138">
        <v>2</v>
      </c>
      <c r="F138" s="2">
        <v>30</v>
      </c>
      <c r="G138" s="2">
        <v>60</v>
      </c>
    </row>
    <row r="139" spans="1:7" x14ac:dyDescent="0.25">
      <c r="A139">
        <v>142</v>
      </c>
      <c r="B139" s="1">
        <v>45384</v>
      </c>
      <c r="C139" t="s">
        <v>31</v>
      </c>
      <c r="D139" t="s">
        <v>15</v>
      </c>
      <c r="E139">
        <v>2</v>
      </c>
      <c r="F139" s="2">
        <v>30</v>
      </c>
      <c r="G139" s="2">
        <v>60</v>
      </c>
    </row>
    <row r="140" spans="1:7" x14ac:dyDescent="0.25">
      <c r="A140">
        <v>143</v>
      </c>
      <c r="B140" s="1">
        <v>45441</v>
      </c>
      <c r="C140" t="s">
        <v>11</v>
      </c>
      <c r="D140" t="s">
        <v>12</v>
      </c>
      <c r="E140">
        <v>3</v>
      </c>
      <c r="F140" s="2">
        <v>120</v>
      </c>
      <c r="G140" s="2">
        <v>360</v>
      </c>
    </row>
    <row r="141" spans="1:7" x14ac:dyDescent="0.25">
      <c r="A141">
        <v>144</v>
      </c>
      <c r="B141" s="1">
        <v>45350</v>
      </c>
      <c r="C141" t="s">
        <v>35</v>
      </c>
      <c r="D141" t="s">
        <v>15</v>
      </c>
      <c r="E141">
        <v>2</v>
      </c>
      <c r="F141" s="2">
        <v>20</v>
      </c>
      <c r="G141" s="2">
        <v>40</v>
      </c>
    </row>
    <row r="142" spans="1:7" x14ac:dyDescent="0.25">
      <c r="A142">
        <v>145</v>
      </c>
      <c r="B142" s="1">
        <v>45389</v>
      </c>
      <c r="C142" t="s">
        <v>19</v>
      </c>
      <c r="D142" t="s">
        <v>12</v>
      </c>
      <c r="E142">
        <v>2</v>
      </c>
      <c r="F142" s="2">
        <v>200</v>
      </c>
      <c r="G142" s="2">
        <v>400</v>
      </c>
    </row>
    <row r="143" spans="1:7" x14ac:dyDescent="0.25">
      <c r="A143">
        <v>146</v>
      </c>
      <c r="B143" s="1">
        <v>45636</v>
      </c>
      <c r="C143" t="s">
        <v>19</v>
      </c>
      <c r="D143" t="s">
        <v>12</v>
      </c>
      <c r="E143">
        <v>3</v>
      </c>
      <c r="F143" s="2">
        <v>200</v>
      </c>
      <c r="G143" s="2">
        <v>600</v>
      </c>
    </row>
    <row r="144" spans="1:7" x14ac:dyDescent="0.25">
      <c r="A144">
        <v>147</v>
      </c>
      <c r="B144" s="1">
        <v>45642</v>
      </c>
      <c r="C144" t="s">
        <v>27</v>
      </c>
      <c r="D144" t="s">
        <v>9</v>
      </c>
      <c r="E144">
        <v>2</v>
      </c>
      <c r="F144" s="2">
        <v>800</v>
      </c>
      <c r="G144" s="2">
        <v>1600</v>
      </c>
    </row>
    <row r="145" spans="1:7" x14ac:dyDescent="0.25">
      <c r="A145">
        <v>148</v>
      </c>
      <c r="B145" s="1">
        <v>45526</v>
      </c>
      <c r="C145" t="s">
        <v>14</v>
      </c>
      <c r="D145" t="s">
        <v>15</v>
      </c>
      <c r="E145">
        <v>4</v>
      </c>
      <c r="F145" s="2">
        <v>50</v>
      </c>
      <c r="G145" s="2">
        <v>200</v>
      </c>
    </row>
    <row r="146" spans="1:7" x14ac:dyDescent="0.25">
      <c r="A146">
        <v>149</v>
      </c>
      <c r="B146" s="1">
        <v>45492</v>
      </c>
      <c r="C146" t="s">
        <v>14</v>
      </c>
      <c r="D146" t="s">
        <v>15</v>
      </c>
      <c r="E146">
        <v>2</v>
      </c>
      <c r="F146" s="2">
        <v>50</v>
      </c>
      <c r="G146" s="2">
        <v>100</v>
      </c>
    </row>
    <row r="147" spans="1:7" x14ac:dyDescent="0.25">
      <c r="A147">
        <v>150</v>
      </c>
      <c r="B147" s="1">
        <v>45498</v>
      </c>
      <c r="C147" t="s">
        <v>17</v>
      </c>
      <c r="D147" t="s">
        <v>9</v>
      </c>
      <c r="E147">
        <v>2</v>
      </c>
      <c r="F147" s="2">
        <v>500</v>
      </c>
      <c r="G147" s="2">
        <v>1000</v>
      </c>
    </row>
    <row r="148" spans="1:7" x14ac:dyDescent="0.25">
      <c r="A148">
        <v>151</v>
      </c>
      <c r="B148" s="1">
        <v>45654</v>
      </c>
      <c r="C148" t="s">
        <v>14</v>
      </c>
      <c r="D148" t="s">
        <v>15</v>
      </c>
      <c r="E148">
        <v>3</v>
      </c>
      <c r="F148" s="2">
        <v>50</v>
      </c>
      <c r="G148" s="2">
        <v>150</v>
      </c>
    </row>
    <row r="149" spans="1:7" x14ac:dyDescent="0.25">
      <c r="A149">
        <v>152</v>
      </c>
      <c r="B149" s="1">
        <v>45546</v>
      </c>
      <c r="C149" t="s">
        <v>14</v>
      </c>
      <c r="D149" t="s">
        <v>15</v>
      </c>
      <c r="E149">
        <v>1</v>
      </c>
      <c r="F149" s="2">
        <v>50</v>
      </c>
      <c r="G149" s="2">
        <v>50</v>
      </c>
    </row>
    <row r="150" spans="1:7" x14ac:dyDescent="0.25">
      <c r="A150">
        <v>153</v>
      </c>
      <c r="B150" s="1">
        <v>45340</v>
      </c>
      <c r="C150" t="s">
        <v>27</v>
      </c>
      <c r="D150" t="s">
        <v>9</v>
      </c>
      <c r="E150">
        <v>2</v>
      </c>
      <c r="F150" s="2">
        <v>800</v>
      </c>
      <c r="G150" s="2">
        <v>1600</v>
      </c>
    </row>
    <row r="151" spans="1:7" x14ac:dyDescent="0.25">
      <c r="A151">
        <v>154</v>
      </c>
      <c r="B151" s="1">
        <v>45317</v>
      </c>
      <c r="C151" t="s">
        <v>31</v>
      </c>
      <c r="D151" t="s">
        <v>15</v>
      </c>
      <c r="E151">
        <v>1</v>
      </c>
      <c r="F151" s="2">
        <v>30</v>
      </c>
      <c r="G151" s="2">
        <v>30</v>
      </c>
    </row>
    <row r="152" spans="1:7" x14ac:dyDescent="0.25">
      <c r="A152">
        <v>156</v>
      </c>
      <c r="B152" s="1">
        <v>45547</v>
      </c>
      <c r="C152" t="s">
        <v>27</v>
      </c>
      <c r="D152" t="s">
        <v>9</v>
      </c>
      <c r="E152">
        <v>3</v>
      </c>
      <c r="F152" s="2">
        <v>800</v>
      </c>
      <c r="G152" s="2">
        <v>2400</v>
      </c>
    </row>
    <row r="153" spans="1:7" x14ac:dyDescent="0.25">
      <c r="A153">
        <v>157</v>
      </c>
      <c r="B153" s="1">
        <v>45561</v>
      </c>
      <c r="C153" t="s">
        <v>19</v>
      </c>
      <c r="D153" t="s">
        <v>12</v>
      </c>
      <c r="E153">
        <v>5</v>
      </c>
      <c r="F153" s="2">
        <v>200</v>
      </c>
      <c r="G153" s="2">
        <v>1000</v>
      </c>
    </row>
    <row r="154" spans="1:7" x14ac:dyDescent="0.25">
      <c r="A154">
        <v>158</v>
      </c>
      <c r="B154" s="1">
        <v>45390</v>
      </c>
      <c r="C154" t="s">
        <v>14</v>
      </c>
      <c r="D154" t="s">
        <v>15</v>
      </c>
      <c r="E154">
        <v>5</v>
      </c>
      <c r="F154" s="2">
        <v>50</v>
      </c>
      <c r="G154" s="2">
        <v>250</v>
      </c>
    </row>
    <row r="155" spans="1:7" x14ac:dyDescent="0.25">
      <c r="A155">
        <v>159</v>
      </c>
      <c r="B155" s="1">
        <v>45613</v>
      </c>
      <c r="C155" t="s">
        <v>19</v>
      </c>
      <c r="D155" t="s">
        <v>12</v>
      </c>
      <c r="E155">
        <v>1</v>
      </c>
      <c r="F155" s="2">
        <v>200</v>
      </c>
      <c r="G155" s="2">
        <v>200</v>
      </c>
    </row>
    <row r="156" spans="1:7" x14ac:dyDescent="0.25">
      <c r="A156">
        <v>160</v>
      </c>
      <c r="B156" s="1">
        <v>45322</v>
      </c>
      <c r="C156" t="s">
        <v>19</v>
      </c>
      <c r="D156" t="s">
        <v>12</v>
      </c>
      <c r="E156">
        <v>5</v>
      </c>
      <c r="F156" s="2">
        <v>200</v>
      </c>
      <c r="G156" s="2">
        <v>1000</v>
      </c>
    </row>
    <row r="157" spans="1:7" x14ac:dyDescent="0.25">
      <c r="A157">
        <v>161</v>
      </c>
      <c r="B157" s="1">
        <v>45394</v>
      </c>
      <c r="C157" t="s">
        <v>14</v>
      </c>
      <c r="D157" t="s">
        <v>15</v>
      </c>
      <c r="E157">
        <v>4</v>
      </c>
      <c r="F157" s="2">
        <v>50</v>
      </c>
      <c r="G157" s="2">
        <v>200</v>
      </c>
    </row>
    <row r="158" spans="1:7" x14ac:dyDescent="0.25">
      <c r="A158">
        <v>162</v>
      </c>
      <c r="B158" s="1">
        <v>45342</v>
      </c>
      <c r="C158" t="s">
        <v>19</v>
      </c>
      <c r="D158" t="s">
        <v>12</v>
      </c>
      <c r="E158">
        <v>3</v>
      </c>
      <c r="F158" s="2">
        <v>200</v>
      </c>
      <c r="G158" s="2">
        <v>600</v>
      </c>
    </row>
    <row r="159" spans="1:7" x14ac:dyDescent="0.25">
      <c r="A159">
        <v>163</v>
      </c>
      <c r="B159" s="1">
        <v>45503</v>
      </c>
      <c r="C159" t="s">
        <v>17</v>
      </c>
      <c r="D159" t="s">
        <v>9</v>
      </c>
      <c r="E159">
        <v>3</v>
      </c>
      <c r="F159" s="2">
        <v>500</v>
      </c>
      <c r="G159" s="2">
        <v>1500</v>
      </c>
    </row>
    <row r="160" spans="1:7" x14ac:dyDescent="0.25">
      <c r="A160">
        <v>164</v>
      </c>
      <c r="B160" s="1">
        <v>45407</v>
      </c>
      <c r="C160" t="s">
        <v>35</v>
      </c>
      <c r="D160" t="s">
        <v>15</v>
      </c>
      <c r="E160">
        <v>2</v>
      </c>
      <c r="F160" s="2">
        <v>20</v>
      </c>
      <c r="G160" s="2">
        <v>40</v>
      </c>
    </row>
    <row r="161" spans="1:7" x14ac:dyDescent="0.25">
      <c r="A161">
        <v>165</v>
      </c>
      <c r="B161" s="1">
        <v>45329</v>
      </c>
      <c r="C161" t="s">
        <v>35</v>
      </c>
      <c r="D161" t="s">
        <v>15</v>
      </c>
      <c r="E161">
        <v>5</v>
      </c>
      <c r="F161" s="2">
        <v>20</v>
      </c>
      <c r="G161" s="2">
        <v>100</v>
      </c>
    </row>
    <row r="162" spans="1:7" x14ac:dyDescent="0.25">
      <c r="A162">
        <v>166</v>
      </c>
      <c r="B162" s="1">
        <v>45470</v>
      </c>
      <c r="C162" t="s">
        <v>19</v>
      </c>
      <c r="D162" t="s">
        <v>12</v>
      </c>
      <c r="E162">
        <v>5</v>
      </c>
      <c r="F162" s="2">
        <v>200</v>
      </c>
      <c r="G162" s="2">
        <v>1000</v>
      </c>
    </row>
    <row r="163" spans="1:7" x14ac:dyDescent="0.25">
      <c r="A163">
        <v>167</v>
      </c>
      <c r="B163" s="1">
        <v>45504</v>
      </c>
      <c r="C163" t="s">
        <v>19</v>
      </c>
      <c r="D163" t="s">
        <v>12</v>
      </c>
      <c r="E163">
        <v>5</v>
      </c>
      <c r="F163" s="2">
        <v>200</v>
      </c>
      <c r="G163" s="2">
        <v>1000</v>
      </c>
    </row>
    <row r="164" spans="1:7" x14ac:dyDescent="0.25">
      <c r="A164">
        <v>168</v>
      </c>
      <c r="B164" s="1">
        <v>45473</v>
      </c>
      <c r="C164" t="s">
        <v>11</v>
      </c>
      <c r="D164" t="s">
        <v>12</v>
      </c>
      <c r="E164">
        <v>2</v>
      </c>
      <c r="F164" s="2">
        <v>120</v>
      </c>
      <c r="G164" s="2">
        <v>240</v>
      </c>
    </row>
    <row r="165" spans="1:7" x14ac:dyDescent="0.25">
      <c r="A165">
        <v>169</v>
      </c>
      <c r="B165" s="1">
        <v>45626</v>
      </c>
      <c r="C165" t="s">
        <v>14</v>
      </c>
      <c r="D165" t="s">
        <v>15</v>
      </c>
      <c r="E165">
        <v>2</v>
      </c>
      <c r="F165" s="2">
        <v>50</v>
      </c>
      <c r="G165" s="2">
        <v>100</v>
      </c>
    </row>
    <row r="166" spans="1:7" x14ac:dyDescent="0.25">
      <c r="A166">
        <v>170</v>
      </c>
      <c r="B166" s="1">
        <v>45539</v>
      </c>
      <c r="C166" t="s">
        <v>14</v>
      </c>
      <c r="D166" t="s">
        <v>15</v>
      </c>
      <c r="E166">
        <v>2</v>
      </c>
      <c r="F166" s="2">
        <v>50</v>
      </c>
      <c r="G166" s="2">
        <v>100</v>
      </c>
    </row>
    <row r="167" spans="1:7" x14ac:dyDescent="0.25">
      <c r="A167">
        <v>171</v>
      </c>
      <c r="B167" s="1">
        <v>45423</v>
      </c>
      <c r="C167" t="s">
        <v>17</v>
      </c>
      <c r="D167" t="s">
        <v>9</v>
      </c>
      <c r="E167">
        <v>3</v>
      </c>
      <c r="F167" s="2">
        <v>500</v>
      </c>
      <c r="G167" s="2">
        <v>1500</v>
      </c>
    </row>
    <row r="168" spans="1:7" x14ac:dyDescent="0.25">
      <c r="A168">
        <v>172</v>
      </c>
      <c r="B168" s="1">
        <v>45583</v>
      </c>
      <c r="C168" t="s">
        <v>14</v>
      </c>
      <c r="D168" t="s">
        <v>15</v>
      </c>
      <c r="E168">
        <v>4</v>
      </c>
      <c r="F168" s="2">
        <v>50</v>
      </c>
      <c r="G168" s="2">
        <v>200</v>
      </c>
    </row>
    <row r="169" spans="1:7" x14ac:dyDescent="0.25">
      <c r="A169">
        <v>173</v>
      </c>
      <c r="B169" s="1">
        <v>45572</v>
      </c>
      <c r="C169" t="s">
        <v>35</v>
      </c>
      <c r="D169" t="s">
        <v>15</v>
      </c>
      <c r="E169">
        <v>4</v>
      </c>
      <c r="F169" s="2">
        <v>20</v>
      </c>
      <c r="G169" s="2">
        <v>80</v>
      </c>
    </row>
    <row r="170" spans="1:7" x14ac:dyDescent="0.25">
      <c r="A170">
        <v>174</v>
      </c>
      <c r="B170" s="1">
        <v>45513</v>
      </c>
      <c r="C170" t="s">
        <v>14</v>
      </c>
      <c r="D170" t="s">
        <v>15</v>
      </c>
      <c r="E170">
        <v>1</v>
      </c>
      <c r="F170" s="2">
        <v>50</v>
      </c>
      <c r="G170" s="2">
        <v>50</v>
      </c>
    </row>
    <row r="171" spans="1:7" x14ac:dyDescent="0.25">
      <c r="A171">
        <v>175</v>
      </c>
      <c r="B171" s="1">
        <v>45494</v>
      </c>
      <c r="C171" t="s">
        <v>11</v>
      </c>
      <c r="D171" t="s">
        <v>12</v>
      </c>
      <c r="E171">
        <v>2</v>
      </c>
      <c r="F171" s="2">
        <v>120</v>
      </c>
      <c r="G171" s="2">
        <v>240</v>
      </c>
    </row>
    <row r="172" spans="1:7" x14ac:dyDescent="0.25">
      <c r="A172">
        <v>176</v>
      </c>
      <c r="B172" s="1">
        <v>45612</v>
      </c>
      <c r="C172" t="s">
        <v>27</v>
      </c>
      <c r="D172" t="s">
        <v>9</v>
      </c>
      <c r="E172">
        <v>2</v>
      </c>
      <c r="F172" s="2">
        <v>800</v>
      </c>
      <c r="G172" s="2">
        <v>1600</v>
      </c>
    </row>
    <row r="173" spans="1:7" x14ac:dyDescent="0.25">
      <c r="A173">
        <v>177</v>
      </c>
      <c r="B173" s="1">
        <v>45630</v>
      </c>
      <c r="C173" t="s">
        <v>17</v>
      </c>
      <c r="D173" t="s">
        <v>9</v>
      </c>
      <c r="E173">
        <v>4</v>
      </c>
      <c r="F173" s="2">
        <v>500</v>
      </c>
      <c r="G173" s="2">
        <v>2000</v>
      </c>
    </row>
    <row r="174" spans="1:7" x14ac:dyDescent="0.25">
      <c r="A174">
        <v>178</v>
      </c>
      <c r="B174" s="1">
        <v>45494</v>
      </c>
      <c r="C174" t="s">
        <v>17</v>
      </c>
      <c r="D174" t="s">
        <v>9</v>
      </c>
      <c r="E174">
        <v>4</v>
      </c>
      <c r="F174" s="2">
        <v>500</v>
      </c>
      <c r="G174" s="2">
        <v>2000</v>
      </c>
    </row>
    <row r="175" spans="1:7" x14ac:dyDescent="0.25">
      <c r="A175">
        <v>179</v>
      </c>
      <c r="B175" s="1">
        <v>45499</v>
      </c>
      <c r="C175" t="s">
        <v>19</v>
      </c>
      <c r="D175" t="s">
        <v>12</v>
      </c>
      <c r="E175">
        <v>2</v>
      </c>
      <c r="F175" s="2">
        <v>200</v>
      </c>
      <c r="G175" s="2">
        <v>400</v>
      </c>
    </row>
    <row r="176" spans="1:7" x14ac:dyDescent="0.25">
      <c r="A176">
        <v>180</v>
      </c>
      <c r="B176" s="1">
        <v>45520</v>
      </c>
      <c r="C176" t="s">
        <v>14</v>
      </c>
      <c r="D176" t="s">
        <v>15</v>
      </c>
      <c r="E176">
        <v>1</v>
      </c>
      <c r="F176" s="2">
        <v>50</v>
      </c>
      <c r="G176" s="2">
        <v>50</v>
      </c>
    </row>
    <row r="177" spans="1:7" x14ac:dyDescent="0.25">
      <c r="A177">
        <v>181</v>
      </c>
      <c r="B177" s="1">
        <v>45598</v>
      </c>
      <c r="C177" t="s">
        <v>19</v>
      </c>
      <c r="D177" t="s">
        <v>12</v>
      </c>
      <c r="E177">
        <v>3</v>
      </c>
      <c r="F177" s="2">
        <v>200</v>
      </c>
      <c r="G177" s="2">
        <v>600</v>
      </c>
    </row>
    <row r="178" spans="1:7" x14ac:dyDescent="0.25">
      <c r="A178">
        <v>182</v>
      </c>
      <c r="B178" s="1">
        <v>45549</v>
      </c>
      <c r="C178" t="s">
        <v>31</v>
      </c>
      <c r="D178" t="s">
        <v>15</v>
      </c>
      <c r="E178">
        <v>1</v>
      </c>
      <c r="F178" s="2">
        <v>30</v>
      </c>
      <c r="G178" s="2">
        <v>30</v>
      </c>
    </row>
    <row r="179" spans="1:7" x14ac:dyDescent="0.25">
      <c r="A179">
        <v>183</v>
      </c>
      <c r="B179" s="1">
        <v>45654</v>
      </c>
      <c r="C179" t="s">
        <v>11</v>
      </c>
      <c r="D179" t="s">
        <v>12</v>
      </c>
      <c r="E179">
        <v>1</v>
      </c>
      <c r="F179" s="2">
        <v>120</v>
      </c>
      <c r="G179" s="2">
        <v>120</v>
      </c>
    </row>
    <row r="180" spans="1:7" x14ac:dyDescent="0.25">
      <c r="A180">
        <v>184</v>
      </c>
      <c r="B180" s="1">
        <v>45536</v>
      </c>
      <c r="C180" t="s">
        <v>17</v>
      </c>
      <c r="D180" t="s">
        <v>9</v>
      </c>
      <c r="E180">
        <v>2</v>
      </c>
      <c r="F180" s="2">
        <v>500</v>
      </c>
      <c r="G180" s="2">
        <v>1000</v>
      </c>
    </row>
    <row r="181" spans="1:7" x14ac:dyDescent="0.25">
      <c r="A181">
        <v>185</v>
      </c>
      <c r="B181" s="1">
        <v>45621</v>
      </c>
      <c r="C181" t="s">
        <v>31</v>
      </c>
      <c r="D181" t="s">
        <v>15</v>
      </c>
      <c r="E181">
        <v>4</v>
      </c>
      <c r="F181" s="2">
        <v>30</v>
      </c>
      <c r="G181" s="2">
        <v>120</v>
      </c>
    </row>
    <row r="182" spans="1:7" x14ac:dyDescent="0.25">
      <c r="A182">
        <v>186</v>
      </c>
      <c r="B182" s="1">
        <v>45635</v>
      </c>
      <c r="C182" t="s">
        <v>27</v>
      </c>
      <c r="D182" t="s">
        <v>9</v>
      </c>
      <c r="E182">
        <v>5</v>
      </c>
      <c r="F182" s="2">
        <v>800</v>
      </c>
      <c r="G182" s="2">
        <v>4000</v>
      </c>
    </row>
    <row r="183" spans="1:7" x14ac:dyDescent="0.25">
      <c r="A183">
        <v>187</v>
      </c>
      <c r="B183" s="1">
        <v>45368</v>
      </c>
      <c r="C183" t="s">
        <v>17</v>
      </c>
      <c r="D183" t="s">
        <v>9</v>
      </c>
      <c r="E183">
        <v>4</v>
      </c>
      <c r="F183" s="2">
        <v>500</v>
      </c>
      <c r="G183" s="2">
        <v>2000</v>
      </c>
    </row>
    <row r="184" spans="1:7" x14ac:dyDescent="0.25">
      <c r="A184">
        <v>188</v>
      </c>
      <c r="B184" s="1">
        <v>45473</v>
      </c>
      <c r="C184" t="s">
        <v>14</v>
      </c>
      <c r="D184" t="s">
        <v>15</v>
      </c>
      <c r="E184">
        <v>4</v>
      </c>
      <c r="F184" s="2">
        <v>50</v>
      </c>
      <c r="G184" s="2">
        <v>200</v>
      </c>
    </row>
    <row r="185" spans="1:7" x14ac:dyDescent="0.25">
      <c r="A185">
        <v>189</v>
      </c>
      <c r="B185" s="1">
        <v>45577</v>
      </c>
      <c r="C185" t="s">
        <v>19</v>
      </c>
      <c r="D185" t="s">
        <v>12</v>
      </c>
      <c r="E185">
        <v>5</v>
      </c>
      <c r="F185" s="2">
        <v>200</v>
      </c>
      <c r="G185" s="2">
        <v>1000</v>
      </c>
    </row>
    <row r="186" spans="1:7" x14ac:dyDescent="0.25">
      <c r="A186">
        <v>190</v>
      </c>
      <c r="B186" s="1">
        <v>45464</v>
      </c>
      <c r="C186" t="s">
        <v>8</v>
      </c>
      <c r="D186" t="s">
        <v>9</v>
      </c>
      <c r="E186">
        <v>3</v>
      </c>
      <c r="F186" s="2">
        <v>300</v>
      </c>
      <c r="G186" s="2">
        <v>900</v>
      </c>
    </row>
    <row r="187" spans="1:7" x14ac:dyDescent="0.25">
      <c r="A187">
        <v>191</v>
      </c>
      <c r="B187" s="1">
        <v>45315</v>
      </c>
      <c r="C187" t="s">
        <v>8</v>
      </c>
      <c r="D187" t="s">
        <v>9</v>
      </c>
      <c r="E187">
        <v>3</v>
      </c>
      <c r="F187" s="2">
        <v>300</v>
      </c>
      <c r="G187" s="2">
        <v>900</v>
      </c>
    </row>
    <row r="188" spans="1:7" x14ac:dyDescent="0.25">
      <c r="A188">
        <v>193</v>
      </c>
      <c r="B188" s="1">
        <v>45648</v>
      </c>
      <c r="C188" t="s">
        <v>17</v>
      </c>
      <c r="D188" t="s">
        <v>9</v>
      </c>
      <c r="E188">
        <v>1</v>
      </c>
      <c r="F188" s="2">
        <v>500</v>
      </c>
      <c r="G188" s="2">
        <v>500</v>
      </c>
    </row>
    <row r="189" spans="1:7" x14ac:dyDescent="0.25">
      <c r="A189">
        <v>194</v>
      </c>
      <c r="B189" s="1">
        <v>45638</v>
      </c>
      <c r="C189" t="s">
        <v>17</v>
      </c>
      <c r="D189" t="s">
        <v>9</v>
      </c>
      <c r="E189">
        <v>1</v>
      </c>
      <c r="F189" s="2">
        <v>500</v>
      </c>
      <c r="G189" s="2">
        <v>500</v>
      </c>
    </row>
    <row r="190" spans="1:7" x14ac:dyDescent="0.25">
      <c r="A190">
        <v>195</v>
      </c>
      <c r="B190" s="1">
        <v>45448</v>
      </c>
      <c r="C190" t="s">
        <v>8</v>
      </c>
      <c r="D190" t="s">
        <v>9</v>
      </c>
      <c r="E190">
        <v>5</v>
      </c>
      <c r="F190" s="2">
        <v>300</v>
      </c>
      <c r="G190" s="2">
        <v>1500</v>
      </c>
    </row>
    <row r="191" spans="1:7" x14ac:dyDescent="0.25">
      <c r="A191">
        <v>196</v>
      </c>
      <c r="B191" s="1">
        <v>45312</v>
      </c>
      <c r="C191" t="s">
        <v>11</v>
      </c>
      <c r="D191" t="s">
        <v>12</v>
      </c>
      <c r="E191">
        <v>1</v>
      </c>
      <c r="F191" s="2">
        <v>120</v>
      </c>
      <c r="G191" s="2">
        <v>120</v>
      </c>
    </row>
    <row r="192" spans="1:7" x14ac:dyDescent="0.25">
      <c r="A192">
        <v>197</v>
      </c>
      <c r="B192" s="1">
        <v>45374</v>
      </c>
      <c r="C192" t="s">
        <v>8</v>
      </c>
      <c r="D192" t="s">
        <v>9</v>
      </c>
      <c r="E192">
        <v>3</v>
      </c>
      <c r="F192" s="2">
        <v>300</v>
      </c>
      <c r="G192" s="2">
        <v>900</v>
      </c>
    </row>
    <row r="193" spans="1:7" x14ac:dyDescent="0.25">
      <c r="A193">
        <v>198</v>
      </c>
      <c r="B193" s="1">
        <v>45619</v>
      </c>
      <c r="C193" t="s">
        <v>35</v>
      </c>
      <c r="D193" t="s">
        <v>15</v>
      </c>
      <c r="E193">
        <v>3</v>
      </c>
      <c r="F193" s="2">
        <v>20</v>
      </c>
      <c r="G193" s="2">
        <v>60</v>
      </c>
    </row>
    <row r="194" spans="1:7" x14ac:dyDescent="0.25">
      <c r="A194">
        <v>199</v>
      </c>
      <c r="B194" s="1">
        <v>45322</v>
      </c>
      <c r="C194" t="s">
        <v>35</v>
      </c>
      <c r="D194" t="s">
        <v>15</v>
      </c>
      <c r="E194">
        <v>2</v>
      </c>
      <c r="F194" s="2">
        <v>20</v>
      </c>
      <c r="G194" s="2">
        <v>40</v>
      </c>
    </row>
    <row r="195" spans="1:7" x14ac:dyDescent="0.25">
      <c r="A195">
        <v>200</v>
      </c>
      <c r="B195" s="1">
        <v>45463</v>
      </c>
      <c r="C195" t="s">
        <v>19</v>
      </c>
      <c r="D195" t="s">
        <v>12</v>
      </c>
      <c r="E195">
        <v>5</v>
      </c>
      <c r="F195" s="2">
        <v>200</v>
      </c>
      <c r="G195" s="2">
        <v>1000</v>
      </c>
    </row>
    <row r="196" spans="1:7" x14ac:dyDescent="0.25">
      <c r="A196">
        <v>201</v>
      </c>
      <c r="B196" s="1">
        <v>45466</v>
      </c>
      <c r="C196" t="s">
        <v>27</v>
      </c>
      <c r="D196" t="s">
        <v>9</v>
      </c>
      <c r="E196">
        <v>2</v>
      </c>
      <c r="F196" s="2">
        <v>800</v>
      </c>
      <c r="G196" s="2">
        <v>1600</v>
      </c>
    </row>
    <row r="197" spans="1:7" x14ac:dyDescent="0.25">
      <c r="A197">
        <v>202</v>
      </c>
      <c r="B197" s="1">
        <v>45600</v>
      </c>
      <c r="C197" t="s">
        <v>31</v>
      </c>
      <c r="D197" t="s">
        <v>15</v>
      </c>
      <c r="E197">
        <v>5</v>
      </c>
      <c r="F197" s="2">
        <v>30</v>
      </c>
      <c r="G197" s="2">
        <v>150</v>
      </c>
    </row>
    <row r="198" spans="1:7" x14ac:dyDescent="0.25">
      <c r="A198">
        <v>203</v>
      </c>
      <c r="B198" s="1">
        <v>45526</v>
      </c>
      <c r="C198" t="s">
        <v>27</v>
      </c>
      <c r="D198" t="s">
        <v>9</v>
      </c>
      <c r="E198">
        <v>3</v>
      </c>
      <c r="F198" s="2">
        <v>800</v>
      </c>
      <c r="G198" s="2">
        <v>2400</v>
      </c>
    </row>
    <row r="199" spans="1:7" x14ac:dyDescent="0.25">
      <c r="A199">
        <v>204</v>
      </c>
      <c r="B199" s="1">
        <v>45412</v>
      </c>
      <c r="C199" t="s">
        <v>8</v>
      </c>
      <c r="D199" t="s">
        <v>9</v>
      </c>
      <c r="E199">
        <v>4</v>
      </c>
      <c r="F199" s="2">
        <v>300</v>
      </c>
      <c r="G199" s="2">
        <v>1200</v>
      </c>
    </row>
    <row r="200" spans="1:7" x14ac:dyDescent="0.25">
      <c r="A200">
        <v>205</v>
      </c>
      <c r="B200" s="1">
        <v>45368</v>
      </c>
      <c r="C200" t="s">
        <v>19</v>
      </c>
      <c r="D200" t="s">
        <v>12</v>
      </c>
      <c r="E200">
        <v>1</v>
      </c>
      <c r="F200" s="2">
        <v>200</v>
      </c>
      <c r="G200" s="2">
        <v>200</v>
      </c>
    </row>
    <row r="201" spans="1:7" x14ac:dyDescent="0.25">
      <c r="A201">
        <v>206</v>
      </c>
      <c r="B201" s="1">
        <v>45338</v>
      </c>
      <c r="C201" t="s">
        <v>35</v>
      </c>
      <c r="D201" t="s">
        <v>15</v>
      </c>
      <c r="E201">
        <v>4</v>
      </c>
      <c r="F201" s="2">
        <v>20</v>
      </c>
      <c r="G201" s="2">
        <v>80</v>
      </c>
    </row>
    <row r="202" spans="1:7" x14ac:dyDescent="0.25">
      <c r="A202">
        <v>207</v>
      </c>
      <c r="B202" s="1">
        <v>45603</v>
      </c>
      <c r="C202" t="s">
        <v>27</v>
      </c>
      <c r="D202" t="s">
        <v>9</v>
      </c>
      <c r="E202">
        <v>5</v>
      </c>
      <c r="F202" s="2">
        <v>800</v>
      </c>
      <c r="G202" s="2">
        <v>4000</v>
      </c>
    </row>
    <row r="203" spans="1:7" x14ac:dyDescent="0.25">
      <c r="A203">
        <v>208</v>
      </c>
      <c r="B203" s="1">
        <v>45598</v>
      </c>
      <c r="C203" t="s">
        <v>19</v>
      </c>
      <c r="D203" t="s">
        <v>12</v>
      </c>
      <c r="E203">
        <v>5</v>
      </c>
      <c r="F203" s="2">
        <v>200</v>
      </c>
      <c r="G203" s="2">
        <v>1000</v>
      </c>
    </row>
    <row r="204" spans="1:7" x14ac:dyDescent="0.25">
      <c r="A204">
        <v>209</v>
      </c>
      <c r="B204" s="1">
        <v>45423</v>
      </c>
      <c r="C204" t="s">
        <v>35</v>
      </c>
      <c r="D204" t="s">
        <v>15</v>
      </c>
      <c r="E204">
        <v>1</v>
      </c>
      <c r="F204" s="2">
        <v>20</v>
      </c>
      <c r="G204" s="2">
        <v>20</v>
      </c>
    </row>
    <row r="205" spans="1:7" x14ac:dyDescent="0.25">
      <c r="A205">
        <v>210</v>
      </c>
      <c r="B205" s="1">
        <v>45535</v>
      </c>
      <c r="C205" t="s">
        <v>35</v>
      </c>
      <c r="D205" t="s">
        <v>15</v>
      </c>
      <c r="E205">
        <v>3</v>
      </c>
      <c r="F205" s="2">
        <v>20</v>
      </c>
      <c r="G205" s="2">
        <v>60</v>
      </c>
    </row>
    <row r="206" spans="1:7" x14ac:dyDescent="0.25">
      <c r="A206">
        <v>211</v>
      </c>
      <c r="B206" s="1">
        <v>45523</v>
      </c>
      <c r="C206" t="s">
        <v>35</v>
      </c>
      <c r="D206" t="s">
        <v>15</v>
      </c>
      <c r="E206">
        <v>4</v>
      </c>
      <c r="F206" s="2">
        <v>20</v>
      </c>
      <c r="G206" s="2">
        <v>80</v>
      </c>
    </row>
    <row r="207" spans="1:7" x14ac:dyDescent="0.25">
      <c r="A207">
        <v>212</v>
      </c>
      <c r="B207" s="1">
        <v>45372</v>
      </c>
      <c r="C207" t="s">
        <v>14</v>
      </c>
      <c r="D207" t="s">
        <v>15</v>
      </c>
      <c r="E207">
        <v>1</v>
      </c>
      <c r="F207" s="2">
        <v>50</v>
      </c>
      <c r="G207" s="2">
        <v>50</v>
      </c>
    </row>
    <row r="208" spans="1:7" x14ac:dyDescent="0.25">
      <c r="A208">
        <v>213</v>
      </c>
      <c r="B208" s="1">
        <v>45370</v>
      </c>
      <c r="C208" t="s">
        <v>17</v>
      </c>
      <c r="D208" t="s">
        <v>9</v>
      </c>
      <c r="E208">
        <v>1</v>
      </c>
      <c r="F208" s="2">
        <v>500</v>
      </c>
      <c r="G208" s="2">
        <v>500</v>
      </c>
    </row>
    <row r="209" spans="1:7" x14ac:dyDescent="0.25">
      <c r="A209">
        <v>214</v>
      </c>
      <c r="B209" s="1">
        <v>45412</v>
      </c>
      <c r="C209" t="s">
        <v>31</v>
      </c>
      <c r="D209" t="s">
        <v>15</v>
      </c>
      <c r="E209">
        <v>1</v>
      </c>
      <c r="F209" s="2">
        <v>30</v>
      </c>
      <c r="G209" s="2">
        <v>30</v>
      </c>
    </row>
    <row r="210" spans="1:7" x14ac:dyDescent="0.25">
      <c r="A210">
        <v>216</v>
      </c>
      <c r="B210" s="1">
        <v>45643</v>
      </c>
      <c r="C210" t="s">
        <v>11</v>
      </c>
      <c r="D210" t="s">
        <v>12</v>
      </c>
      <c r="E210">
        <v>5</v>
      </c>
      <c r="F210" s="2">
        <v>120</v>
      </c>
      <c r="G210" s="2">
        <v>600</v>
      </c>
    </row>
    <row r="211" spans="1:7" x14ac:dyDescent="0.25">
      <c r="A211">
        <v>217</v>
      </c>
      <c r="B211" s="1">
        <v>45535</v>
      </c>
      <c r="C211" t="s">
        <v>31</v>
      </c>
      <c r="D211" t="s">
        <v>15</v>
      </c>
      <c r="E211">
        <v>1</v>
      </c>
      <c r="F211" s="2">
        <v>30</v>
      </c>
      <c r="G211" s="2">
        <v>30</v>
      </c>
    </row>
    <row r="212" spans="1:7" x14ac:dyDescent="0.25">
      <c r="A212">
        <v>218</v>
      </c>
      <c r="B212" s="1">
        <v>45576</v>
      </c>
      <c r="C212" t="s">
        <v>35</v>
      </c>
      <c r="D212" t="s">
        <v>15</v>
      </c>
      <c r="E212">
        <v>5</v>
      </c>
      <c r="F212" s="2">
        <v>20</v>
      </c>
      <c r="G212" s="2">
        <v>100</v>
      </c>
    </row>
    <row r="213" spans="1:7" x14ac:dyDescent="0.25">
      <c r="A213">
        <v>219</v>
      </c>
      <c r="B213" s="1">
        <v>45439</v>
      </c>
      <c r="C213" t="s">
        <v>19</v>
      </c>
      <c r="D213" t="s">
        <v>12</v>
      </c>
      <c r="E213">
        <v>1</v>
      </c>
      <c r="F213" s="2">
        <v>200</v>
      </c>
      <c r="G213" s="2">
        <v>200</v>
      </c>
    </row>
    <row r="214" spans="1:7" x14ac:dyDescent="0.25">
      <c r="A214">
        <v>220</v>
      </c>
      <c r="B214" s="1">
        <v>45356</v>
      </c>
      <c r="C214" t="s">
        <v>35</v>
      </c>
      <c r="D214" t="s">
        <v>15</v>
      </c>
      <c r="E214">
        <v>1</v>
      </c>
      <c r="F214" s="2">
        <v>20</v>
      </c>
      <c r="G214" s="2">
        <v>20</v>
      </c>
    </row>
    <row r="215" spans="1:7" x14ac:dyDescent="0.25">
      <c r="A215">
        <v>221</v>
      </c>
      <c r="B215" s="1">
        <v>45580</v>
      </c>
      <c r="C215" t="s">
        <v>14</v>
      </c>
      <c r="D215" t="s">
        <v>15</v>
      </c>
      <c r="E215">
        <v>4</v>
      </c>
      <c r="F215" s="2">
        <v>50</v>
      </c>
      <c r="G215" s="2">
        <v>200</v>
      </c>
    </row>
    <row r="216" spans="1:7" x14ac:dyDescent="0.25">
      <c r="A216">
        <v>222</v>
      </c>
      <c r="B216" s="1">
        <v>45539</v>
      </c>
      <c r="C216" t="s">
        <v>14</v>
      </c>
      <c r="D216" t="s">
        <v>15</v>
      </c>
      <c r="E216">
        <v>3</v>
      </c>
      <c r="F216" s="2">
        <v>50</v>
      </c>
      <c r="G216" s="2">
        <v>150</v>
      </c>
    </row>
    <row r="217" spans="1:7" x14ac:dyDescent="0.25">
      <c r="A217">
        <v>223</v>
      </c>
      <c r="B217" s="1">
        <v>45326</v>
      </c>
      <c r="C217" t="s">
        <v>8</v>
      </c>
      <c r="D217" t="s">
        <v>9</v>
      </c>
      <c r="E217">
        <v>4</v>
      </c>
      <c r="F217" s="2">
        <v>300</v>
      </c>
      <c r="G217" s="2">
        <v>1200</v>
      </c>
    </row>
    <row r="218" spans="1:7" x14ac:dyDescent="0.25">
      <c r="A218">
        <v>224</v>
      </c>
      <c r="B218" s="1">
        <v>45412</v>
      </c>
      <c r="C218" t="s">
        <v>17</v>
      </c>
      <c r="D218" t="s">
        <v>9</v>
      </c>
      <c r="E218">
        <v>2</v>
      </c>
      <c r="F218" s="2">
        <v>500</v>
      </c>
      <c r="G218" s="2">
        <v>1000</v>
      </c>
    </row>
    <row r="219" spans="1:7" x14ac:dyDescent="0.25">
      <c r="A219">
        <v>225</v>
      </c>
      <c r="B219" s="1">
        <v>45567</v>
      </c>
      <c r="C219" t="s">
        <v>11</v>
      </c>
      <c r="D219" t="s">
        <v>12</v>
      </c>
      <c r="E219">
        <v>4</v>
      </c>
      <c r="F219" s="2">
        <v>120</v>
      </c>
      <c r="G219" s="2">
        <v>480</v>
      </c>
    </row>
    <row r="220" spans="1:7" x14ac:dyDescent="0.25">
      <c r="A220">
        <v>226</v>
      </c>
      <c r="B220" s="1">
        <v>45640</v>
      </c>
      <c r="C220" t="s">
        <v>14</v>
      </c>
      <c r="D220" t="s">
        <v>15</v>
      </c>
      <c r="E220">
        <v>5</v>
      </c>
      <c r="F220" s="2">
        <v>50</v>
      </c>
      <c r="G220" s="2">
        <v>250</v>
      </c>
    </row>
    <row r="221" spans="1:7" x14ac:dyDescent="0.25">
      <c r="A221">
        <v>227</v>
      </c>
      <c r="B221" s="1">
        <v>45513</v>
      </c>
      <c r="C221" t="s">
        <v>35</v>
      </c>
      <c r="D221" t="s">
        <v>15</v>
      </c>
      <c r="E221">
        <v>2</v>
      </c>
      <c r="F221" s="2">
        <v>20</v>
      </c>
      <c r="G221" s="2">
        <v>40</v>
      </c>
    </row>
    <row r="222" spans="1:7" x14ac:dyDescent="0.25">
      <c r="A222">
        <v>228</v>
      </c>
      <c r="B222" s="1">
        <v>45553</v>
      </c>
      <c r="C222" t="s">
        <v>35</v>
      </c>
      <c r="D222" t="s">
        <v>15</v>
      </c>
      <c r="E222">
        <v>3</v>
      </c>
      <c r="F222" s="2">
        <v>20</v>
      </c>
      <c r="G222" s="2">
        <v>60</v>
      </c>
    </row>
    <row r="223" spans="1:7" x14ac:dyDescent="0.25">
      <c r="A223">
        <v>229</v>
      </c>
      <c r="B223" s="1">
        <v>45557</v>
      </c>
      <c r="C223" t="s">
        <v>31</v>
      </c>
      <c r="D223" t="s">
        <v>15</v>
      </c>
      <c r="E223">
        <v>4</v>
      </c>
      <c r="F223" s="2">
        <v>30</v>
      </c>
      <c r="G223" s="2">
        <v>120</v>
      </c>
    </row>
    <row r="224" spans="1:7" x14ac:dyDescent="0.25">
      <c r="A224">
        <v>230</v>
      </c>
      <c r="B224" s="1">
        <v>45536</v>
      </c>
      <c r="C224" t="s">
        <v>8</v>
      </c>
      <c r="D224" t="s">
        <v>9</v>
      </c>
      <c r="E224">
        <v>3</v>
      </c>
      <c r="F224" s="2">
        <v>300</v>
      </c>
      <c r="G224" s="2">
        <v>900</v>
      </c>
    </row>
    <row r="225" spans="1:7" x14ac:dyDescent="0.25">
      <c r="A225">
        <v>231</v>
      </c>
      <c r="B225" s="1">
        <v>45453</v>
      </c>
      <c r="C225" t="s">
        <v>19</v>
      </c>
      <c r="D225" t="s">
        <v>12</v>
      </c>
      <c r="E225">
        <v>4</v>
      </c>
      <c r="F225" s="2">
        <v>200</v>
      </c>
      <c r="G225" s="2">
        <v>800</v>
      </c>
    </row>
    <row r="226" spans="1:7" x14ac:dyDescent="0.25">
      <c r="A226">
        <v>232</v>
      </c>
      <c r="B226" s="1">
        <v>45358</v>
      </c>
      <c r="C226" t="s">
        <v>8</v>
      </c>
      <c r="D226" t="s">
        <v>9</v>
      </c>
      <c r="E226">
        <v>1</v>
      </c>
      <c r="F226" s="2">
        <v>300</v>
      </c>
      <c r="G226" s="2">
        <v>300</v>
      </c>
    </row>
    <row r="227" spans="1:7" x14ac:dyDescent="0.25">
      <c r="A227">
        <v>233</v>
      </c>
      <c r="B227" s="1">
        <v>45402</v>
      </c>
      <c r="C227" t="s">
        <v>27</v>
      </c>
      <c r="D227" t="s">
        <v>9</v>
      </c>
      <c r="E227">
        <v>3</v>
      </c>
      <c r="F227" s="2">
        <v>800</v>
      </c>
      <c r="G227" s="2">
        <v>2400</v>
      </c>
    </row>
    <row r="228" spans="1:7" x14ac:dyDescent="0.25">
      <c r="A228">
        <v>234</v>
      </c>
      <c r="B228" s="1">
        <v>45645</v>
      </c>
      <c r="C228" t="s">
        <v>8</v>
      </c>
      <c r="D228" t="s">
        <v>9</v>
      </c>
      <c r="E228">
        <v>2</v>
      </c>
      <c r="F228" s="2">
        <v>300</v>
      </c>
      <c r="G228" s="2">
        <v>600</v>
      </c>
    </row>
    <row r="229" spans="1:7" x14ac:dyDescent="0.25">
      <c r="A229">
        <v>235</v>
      </c>
      <c r="B229" s="1">
        <v>45642</v>
      </c>
      <c r="C229" t="s">
        <v>8</v>
      </c>
      <c r="D229" t="s">
        <v>9</v>
      </c>
      <c r="E229">
        <v>3</v>
      </c>
      <c r="F229" s="2">
        <v>300</v>
      </c>
      <c r="G229" s="2">
        <v>900</v>
      </c>
    </row>
    <row r="230" spans="1:7" x14ac:dyDescent="0.25">
      <c r="A230">
        <v>236</v>
      </c>
      <c r="B230" s="1">
        <v>45486</v>
      </c>
      <c r="C230" t="s">
        <v>35</v>
      </c>
      <c r="D230" t="s">
        <v>15</v>
      </c>
      <c r="E230">
        <v>5</v>
      </c>
      <c r="F230" s="2">
        <v>20</v>
      </c>
      <c r="G230" s="2">
        <v>100</v>
      </c>
    </row>
    <row r="231" spans="1:7" x14ac:dyDescent="0.25">
      <c r="A231">
        <v>237</v>
      </c>
      <c r="B231" s="1">
        <v>45623</v>
      </c>
      <c r="C231" t="s">
        <v>27</v>
      </c>
      <c r="D231" t="s">
        <v>9</v>
      </c>
      <c r="E231">
        <v>5</v>
      </c>
      <c r="F231" s="2">
        <v>800</v>
      </c>
      <c r="G231" s="2">
        <v>4000</v>
      </c>
    </row>
    <row r="232" spans="1:7" x14ac:dyDescent="0.25">
      <c r="A232">
        <v>238</v>
      </c>
      <c r="B232" s="1">
        <v>45397</v>
      </c>
      <c r="C232" t="s">
        <v>35</v>
      </c>
      <c r="D232" t="s">
        <v>15</v>
      </c>
      <c r="E232">
        <v>5</v>
      </c>
      <c r="F232" s="2">
        <v>20</v>
      </c>
      <c r="G232" s="2">
        <v>100</v>
      </c>
    </row>
    <row r="233" spans="1:7" x14ac:dyDescent="0.25">
      <c r="A233">
        <v>239</v>
      </c>
      <c r="B233" s="1">
        <v>45557</v>
      </c>
      <c r="C233" t="s">
        <v>19</v>
      </c>
      <c r="D233" t="s">
        <v>12</v>
      </c>
      <c r="E233">
        <v>1</v>
      </c>
      <c r="F233" s="2">
        <v>200</v>
      </c>
      <c r="G233" s="2">
        <v>200</v>
      </c>
    </row>
    <row r="234" spans="1:7" x14ac:dyDescent="0.25">
      <c r="A234">
        <v>240</v>
      </c>
      <c r="B234" s="1">
        <v>45456</v>
      </c>
      <c r="C234" t="s">
        <v>14</v>
      </c>
      <c r="D234" t="s">
        <v>15</v>
      </c>
      <c r="E234">
        <v>3</v>
      </c>
      <c r="F234" s="2">
        <v>50</v>
      </c>
      <c r="G234" s="2">
        <v>150</v>
      </c>
    </row>
    <row r="235" spans="1:7" x14ac:dyDescent="0.25">
      <c r="A235">
        <v>241</v>
      </c>
      <c r="B235" s="1">
        <v>45357</v>
      </c>
      <c r="C235" t="s">
        <v>17</v>
      </c>
      <c r="D235" t="s">
        <v>9</v>
      </c>
      <c r="E235">
        <v>5</v>
      </c>
      <c r="F235" s="2">
        <v>500</v>
      </c>
      <c r="G235" s="2">
        <v>2500</v>
      </c>
    </row>
    <row r="236" spans="1:7" x14ac:dyDescent="0.25">
      <c r="A236">
        <v>242</v>
      </c>
      <c r="B236" s="1">
        <v>45591</v>
      </c>
      <c r="C236" t="s">
        <v>31</v>
      </c>
      <c r="D236" t="s">
        <v>15</v>
      </c>
      <c r="E236">
        <v>5</v>
      </c>
      <c r="F236" s="2">
        <v>30</v>
      </c>
      <c r="G236" s="2">
        <v>150</v>
      </c>
    </row>
    <row r="237" spans="1:7" x14ac:dyDescent="0.25">
      <c r="A237">
        <v>243</v>
      </c>
      <c r="B237" s="1">
        <v>45454</v>
      </c>
      <c r="C237" t="s">
        <v>19</v>
      </c>
      <c r="D237" t="s">
        <v>12</v>
      </c>
      <c r="E237">
        <v>3</v>
      </c>
      <c r="F237" s="2">
        <v>200</v>
      </c>
      <c r="G237" s="2">
        <v>600</v>
      </c>
    </row>
    <row r="238" spans="1:7" x14ac:dyDescent="0.25">
      <c r="A238">
        <v>244</v>
      </c>
      <c r="B238" s="1">
        <v>45296</v>
      </c>
      <c r="C238" t="s">
        <v>19</v>
      </c>
      <c r="D238" t="s">
        <v>12</v>
      </c>
      <c r="E238">
        <v>1</v>
      </c>
      <c r="F238" s="2">
        <v>200</v>
      </c>
      <c r="G238" s="2">
        <v>200</v>
      </c>
    </row>
    <row r="239" spans="1:7" x14ac:dyDescent="0.25">
      <c r="A239">
        <v>245</v>
      </c>
      <c r="B239" s="1">
        <v>45554</v>
      </c>
      <c r="C239" t="s">
        <v>8</v>
      </c>
      <c r="D239" t="s">
        <v>9</v>
      </c>
      <c r="E239">
        <v>2</v>
      </c>
      <c r="F239" s="2">
        <v>300</v>
      </c>
      <c r="G239" s="2">
        <v>600</v>
      </c>
    </row>
    <row r="240" spans="1:7" x14ac:dyDescent="0.25">
      <c r="A240">
        <v>246</v>
      </c>
      <c r="B240" s="1">
        <v>45605</v>
      </c>
      <c r="C240" t="s">
        <v>14</v>
      </c>
      <c r="D240" t="s">
        <v>15</v>
      </c>
      <c r="E240">
        <v>2</v>
      </c>
      <c r="F240" s="2">
        <v>50</v>
      </c>
      <c r="G240" s="2">
        <v>100</v>
      </c>
    </row>
    <row r="241" spans="1:7" x14ac:dyDescent="0.25">
      <c r="A241">
        <v>248</v>
      </c>
      <c r="B241" s="1">
        <v>45519</v>
      </c>
      <c r="C241" t="s">
        <v>8</v>
      </c>
      <c r="D241" t="s">
        <v>9</v>
      </c>
      <c r="E241">
        <v>4</v>
      </c>
      <c r="F241" s="2">
        <v>300</v>
      </c>
      <c r="G241" s="2">
        <v>1200</v>
      </c>
    </row>
    <row r="242" spans="1:7" x14ac:dyDescent="0.25">
      <c r="A242">
        <v>249</v>
      </c>
      <c r="B242" s="1">
        <v>45358</v>
      </c>
      <c r="C242" t="s">
        <v>19</v>
      </c>
      <c r="D242" t="s">
        <v>12</v>
      </c>
      <c r="E242">
        <v>1</v>
      </c>
      <c r="F242" s="2">
        <v>200</v>
      </c>
      <c r="G242" s="2">
        <v>200</v>
      </c>
    </row>
    <row r="243" spans="1:7" x14ac:dyDescent="0.25">
      <c r="A243">
        <v>250</v>
      </c>
      <c r="B243" s="1">
        <v>45370</v>
      </c>
      <c r="C243" t="s">
        <v>27</v>
      </c>
      <c r="D243" t="s">
        <v>9</v>
      </c>
      <c r="E243">
        <v>5</v>
      </c>
      <c r="F243" s="2">
        <v>800</v>
      </c>
      <c r="G243" s="2">
        <v>4000</v>
      </c>
    </row>
    <row r="244" spans="1:7" x14ac:dyDescent="0.25">
      <c r="A244">
        <v>251</v>
      </c>
      <c r="B244" s="1">
        <v>45382</v>
      </c>
      <c r="C244" t="s">
        <v>31</v>
      </c>
      <c r="D244" t="s">
        <v>15</v>
      </c>
      <c r="E244">
        <v>5</v>
      </c>
      <c r="F244" s="2">
        <v>30</v>
      </c>
      <c r="G244" s="2">
        <v>150</v>
      </c>
    </row>
    <row r="245" spans="1:7" x14ac:dyDescent="0.25">
      <c r="A245">
        <v>252</v>
      </c>
      <c r="B245" s="1">
        <v>45547</v>
      </c>
      <c r="C245" t="s">
        <v>27</v>
      </c>
      <c r="D245" t="s">
        <v>9</v>
      </c>
      <c r="E245">
        <v>4</v>
      </c>
      <c r="F245" s="2">
        <v>800</v>
      </c>
      <c r="G245" s="2">
        <v>3200</v>
      </c>
    </row>
    <row r="246" spans="1:7" x14ac:dyDescent="0.25">
      <c r="A246">
        <v>253</v>
      </c>
      <c r="B246" s="1">
        <v>45362</v>
      </c>
      <c r="C246" t="s">
        <v>31</v>
      </c>
      <c r="D246" t="s">
        <v>15</v>
      </c>
      <c r="E246">
        <v>3</v>
      </c>
      <c r="F246" s="2">
        <v>30</v>
      </c>
      <c r="G246" s="2">
        <v>90</v>
      </c>
    </row>
    <row r="247" spans="1:7" x14ac:dyDescent="0.25">
      <c r="A247">
        <v>254</v>
      </c>
      <c r="B247" s="1">
        <v>45604</v>
      </c>
      <c r="C247" t="s">
        <v>19</v>
      </c>
      <c r="D247" t="s">
        <v>12</v>
      </c>
      <c r="E247">
        <v>4</v>
      </c>
      <c r="F247" s="2">
        <v>200</v>
      </c>
      <c r="G247" s="2">
        <v>800</v>
      </c>
    </row>
    <row r="248" spans="1:7" x14ac:dyDescent="0.25">
      <c r="A248">
        <v>255</v>
      </c>
      <c r="B248" s="1">
        <v>45363</v>
      </c>
      <c r="C248" t="s">
        <v>19</v>
      </c>
      <c r="D248" t="s">
        <v>12</v>
      </c>
      <c r="E248">
        <v>3</v>
      </c>
      <c r="F248" s="2">
        <v>200</v>
      </c>
      <c r="G248" s="2">
        <v>600</v>
      </c>
    </row>
    <row r="249" spans="1:7" x14ac:dyDescent="0.25">
      <c r="A249">
        <v>256</v>
      </c>
      <c r="B249" s="1">
        <v>45398</v>
      </c>
      <c r="C249" t="s">
        <v>11</v>
      </c>
      <c r="D249" t="s">
        <v>12</v>
      </c>
      <c r="E249">
        <v>5</v>
      </c>
      <c r="F249" s="2">
        <v>120</v>
      </c>
      <c r="G249" s="2">
        <v>600</v>
      </c>
    </row>
    <row r="250" spans="1:7" x14ac:dyDescent="0.25">
      <c r="A250">
        <v>257</v>
      </c>
      <c r="B250" s="1">
        <v>45492</v>
      </c>
      <c r="C250" t="s">
        <v>31</v>
      </c>
      <c r="D250" t="s">
        <v>15</v>
      </c>
      <c r="E250">
        <v>1</v>
      </c>
      <c r="F250" s="2">
        <v>30</v>
      </c>
      <c r="G250" s="2">
        <v>30</v>
      </c>
    </row>
    <row r="251" spans="1:7" x14ac:dyDescent="0.25">
      <c r="A251">
        <v>258</v>
      </c>
      <c r="B251" s="1">
        <v>45401</v>
      </c>
      <c r="C251" t="s">
        <v>27</v>
      </c>
      <c r="D251" t="s">
        <v>9</v>
      </c>
      <c r="E251">
        <v>4</v>
      </c>
      <c r="F251" s="2">
        <v>800</v>
      </c>
      <c r="G251" s="2">
        <v>3200</v>
      </c>
    </row>
    <row r="252" spans="1:7" x14ac:dyDescent="0.25">
      <c r="A252">
        <v>259</v>
      </c>
      <c r="B252" s="1">
        <v>45385</v>
      </c>
      <c r="C252" t="s">
        <v>19</v>
      </c>
      <c r="D252" t="s">
        <v>12</v>
      </c>
      <c r="E252">
        <v>4</v>
      </c>
      <c r="F252" s="2">
        <v>200</v>
      </c>
      <c r="G252" s="2">
        <v>800</v>
      </c>
    </row>
    <row r="253" spans="1:7" x14ac:dyDescent="0.25">
      <c r="A253">
        <v>260</v>
      </c>
      <c r="B253" s="1">
        <v>45299</v>
      </c>
      <c r="C253" t="s">
        <v>17</v>
      </c>
      <c r="D253" t="s">
        <v>9</v>
      </c>
      <c r="E253">
        <v>4</v>
      </c>
      <c r="F253" s="2">
        <v>500</v>
      </c>
      <c r="G253" s="2">
        <v>2000</v>
      </c>
    </row>
    <row r="254" spans="1:7" x14ac:dyDescent="0.25">
      <c r="A254">
        <v>262</v>
      </c>
      <c r="B254" s="1">
        <v>45571</v>
      </c>
      <c r="C254" t="s">
        <v>19</v>
      </c>
      <c r="D254" t="s">
        <v>12</v>
      </c>
      <c r="E254">
        <v>4</v>
      </c>
      <c r="F254" s="2">
        <v>200</v>
      </c>
      <c r="G254" s="2">
        <v>800</v>
      </c>
    </row>
    <row r="255" spans="1:7" x14ac:dyDescent="0.25">
      <c r="A255">
        <v>263</v>
      </c>
      <c r="B255" s="1">
        <v>45531</v>
      </c>
      <c r="C255" t="s">
        <v>17</v>
      </c>
      <c r="D255" t="s">
        <v>9</v>
      </c>
      <c r="E255">
        <v>4</v>
      </c>
      <c r="F255" s="2">
        <v>500</v>
      </c>
      <c r="G255" s="2">
        <v>2000</v>
      </c>
    </row>
    <row r="256" spans="1:7" x14ac:dyDescent="0.25">
      <c r="A256">
        <v>264</v>
      </c>
      <c r="B256" s="1">
        <v>45654</v>
      </c>
      <c r="C256" t="s">
        <v>35</v>
      </c>
      <c r="D256" t="s">
        <v>15</v>
      </c>
      <c r="E256">
        <v>1</v>
      </c>
      <c r="F256" s="2">
        <v>20</v>
      </c>
      <c r="G256" s="2">
        <v>20</v>
      </c>
    </row>
    <row r="257" spans="1:7" x14ac:dyDescent="0.25">
      <c r="A257">
        <v>265</v>
      </c>
      <c r="B257" s="1">
        <v>45542</v>
      </c>
      <c r="C257" t="s">
        <v>35</v>
      </c>
      <c r="D257" t="s">
        <v>15</v>
      </c>
      <c r="E257">
        <v>1</v>
      </c>
      <c r="F257" s="2">
        <v>20</v>
      </c>
      <c r="G257" s="2">
        <v>20</v>
      </c>
    </row>
    <row r="258" spans="1:7" x14ac:dyDescent="0.25">
      <c r="A258">
        <v>266</v>
      </c>
      <c r="B258" s="1">
        <v>45321</v>
      </c>
      <c r="C258" t="s">
        <v>14</v>
      </c>
      <c r="D258" t="s">
        <v>15</v>
      </c>
      <c r="E258">
        <v>2</v>
      </c>
      <c r="F258" s="2">
        <v>50</v>
      </c>
      <c r="G258" s="2">
        <v>100</v>
      </c>
    </row>
    <row r="259" spans="1:7" x14ac:dyDescent="0.25">
      <c r="A259">
        <v>267</v>
      </c>
      <c r="B259" s="1">
        <v>45620</v>
      </c>
      <c r="C259" t="s">
        <v>11</v>
      </c>
      <c r="D259" t="s">
        <v>12</v>
      </c>
      <c r="E259">
        <v>4</v>
      </c>
      <c r="F259" s="2">
        <v>120</v>
      </c>
      <c r="G259" s="2">
        <v>480</v>
      </c>
    </row>
    <row r="260" spans="1:7" x14ac:dyDescent="0.25">
      <c r="A260">
        <v>268</v>
      </c>
      <c r="B260" s="1">
        <v>45467</v>
      </c>
      <c r="C260" t="s">
        <v>14</v>
      </c>
      <c r="D260" t="s">
        <v>15</v>
      </c>
      <c r="E260">
        <v>1</v>
      </c>
      <c r="F260" s="2">
        <v>50</v>
      </c>
      <c r="G260" s="2">
        <v>50</v>
      </c>
    </row>
    <row r="261" spans="1:7" x14ac:dyDescent="0.25">
      <c r="A261">
        <v>269</v>
      </c>
      <c r="B261" s="1">
        <v>45615</v>
      </c>
      <c r="C261" t="s">
        <v>17</v>
      </c>
      <c r="D261" t="s">
        <v>9</v>
      </c>
      <c r="E261">
        <v>4</v>
      </c>
      <c r="F261" s="2">
        <v>500</v>
      </c>
      <c r="G261" s="2">
        <v>2000</v>
      </c>
    </row>
    <row r="262" spans="1:7" x14ac:dyDescent="0.25">
      <c r="A262">
        <v>270</v>
      </c>
      <c r="B262" s="1">
        <v>45555</v>
      </c>
      <c r="C262" t="s">
        <v>14</v>
      </c>
      <c r="D262" t="s">
        <v>15</v>
      </c>
      <c r="E262">
        <v>4</v>
      </c>
      <c r="F262" s="2">
        <v>50</v>
      </c>
      <c r="G262" s="2">
        <v>200</v>
      </c>
    </row>
    <row r="263" spans="1:7" x14ac:dyDescent="0.25">
      <c r="A263">
        <v>271</v>
      </c>
      <c r="B263" s="1">
        <v>45368</v>
      </c>
      <c r="C263" t="s">
        <v>19</v>
      </c>
      <c r="D263" t="s">
        <v>12</v>
      </c>
      <c r="E263">
        <v>5</v>
      </c>
      <c r="F263" s="2">
        <v>200</v>
      </c>
      <c r="G263" s="2">
        <v>1000</v>
      </c>
    </row>
    <row r="264" spans="1:7" x14ac:dyDescent="0.25">
      <c r="A264">
        <v>272</v>
      </c>
      <c r="B264" s="1">
        <v>45393</v>
      </c>
      <c r="C264" t="s">
        <v>19</v>
      </c>
      <c r="D264" t="s">
        <v>12</v>
      </c>
      <c r="E264">
        <v>2</v>
      </c>
      <c r="F264" s="2">
        <v>200</v>
      </c>
      <c r="G264" s="2">
        <v>400</v>
      </c>
    </row>
    <row r="265" spans="1:7" x14ac:dyDescent="0.25">
      <c r="A265">
        <v>273</v>
      </c>
      <c r="B265" s="1">
        <v>45373</v>
      </c>
      <c r="C265" t="s">
        <v>31</v>
      </c>
      <c r="D265" t="s">
        <v>15</v>
      </c>
      <c r="E265">
        <v>3</v>
      </c>
      <c r="F265" s="2">
        <v>30</v>
      </c>
      <c r="G265" s="2">
        <v>90</v>
      </c>
    </row>
    <row r="266" spans="1:7" x14ac:dyDescent="0.25">
      <c r="A266">
        <v>274</v>
      </c>
      <c r="B266" s="1">
        <v>45647</v>
      </c>
      <c r="C266" t="s">
        <v>31</v>
      </c>
      <c r="D266" t="s">
        <v>15</v>
      </c>
      <c r="E266">
        <v>4</v>
      </c>
      <c r="F266" s="2">
        <v>30</v>
      </c>
      <c r="G266" s="2">
        <v>120</v>
      </c>
    </row>
    <row r="267" spans="1:7" x14ac:dyDescent="0.25">
      <c r="A267">
        <v>275</v>
      </c>
      <c r="B267" s="1">
        <v>45633</v>
      </c>
      <c r="C267" t="s">
        <v>14</v>
      </c>
      <c r="D267" t="s">
        <v>15</v>
      </c>
      <c r="E267">
        <v>1</v>
      </c>
      <c r="F267" s="2">
        <v>50</v>
      </c>
      <c r="G267" s="2">
        <v>50</v>
      </c>
    </row>
    <row r="268" spans="1:7" x14ac:dyDescent="0.25">
      <c r="A268">
        <v>276</v>
      </c>
      <c r="B268" s="1">
        <v>45345</v>
      </c>
      <c r="C268" t="s">
        <v>11</v>
      </c>
      <c r="D268" t="s">
        <v>12</v>
      </c>
      <c r="E268">
        <v>2</v>
      </c>
      <c r="F268" s="2">
        <v>120</v>
      </c>
      <c r="G268" s="2">
        <v>240</v>
      </c>
    </row>
    <row r="269" spans="1:7" x14ac:dyDescent="0.25">
      <c r="A269">
        <v>277</v>
      </c>
      <c r="B269" s="1">
        <v>45557</v>
      </c>
      <c r="C269" t="s">
        <v>31</v>
      </c>
      <c r="D269" t="s">
        <v>15</v>
      </c>
      <c r="E269">
        <v>5</v>
      </c>
      <c r="F269" s="2">
        <v>30</v>
      </c>
      <c r="G269" s="2">
        <v>150</v>
      </c>
    </row>
    <row r="270" spans="1:7" x14ac:dyDescent="0.25">
      <c r="A270">
        <v>278</v>
      </c>
      <c r="B270" s="1">
        <v>45479</v>
      </c>
      <c r="C270" t="s">
        <v>31</v>
      </c>
      <c r="D270" t="s">
        <v>15</v>
      </c>
      <c r="E270">
        <v>4</v>
      </c>
      <c r="F270" s="2">
        <v>30</v>
      </c>
      <c r="G270" s="2">
        <v>120</v>
      </c>
    </row>
    <row r="271" spans="1:7" x14ac:dyDescent="0.25">
      <c r="A271">
        <v>279</v>
      </c>
      <c r="B271" s="1">
        <v>45398</v>
      </c>
      <c r="C271" t="s">
        <v>27</v>
      </c>
      <c r="D271" t="s">
        <v>9</v>
      </c>
      <c r="E271">
        <v>1</v>
      </c>
      <c r="F271" s="2">
        <v>800</v>
      </c>
      <c r="G271" s="2">
        <v>800</v>
      </c>
    </row>
    <row r="272" spans="1:7" x14ac:dyDescent="0.25">
      <c r="A272">
        <v>280</v>
      </c>
      <c r="B272" s="1">
        <v>45428</v>
      </c>
      <c r="C272" t="s">
        <v>14</v>
      </c>
      <c r="D272" t="s">
        <v>15</v>
      </c>
      <c r="E272">
        <v>1</v>
      </c>
      <c r="F272" s="2">
        <v>50</v>
      </c>
      <c r="G272" s="2">
        <v>50</v>
      </c>
    </row>
    <row r="273" spans="1:7" x14ac:dyDescent="0.25">
      <c r="A273">
        <v>281</v>
      </c>
      <c r="B273" s="1">
        <v>45639</v>
      </c>
      <c r="C273" t="s">
        <v>8</v>
      </c>
      <c r="D273" t="s">
        <v>9</v>
      </c>
      <c r="E273">
        <v>3</v>
      </c>
      <c r="F273" s="2">
        <v>300</v>
      </c>
      <c r="G273" s="2">
        <v>900</v>
      </c>
    </row>
    <row r="274" spans="1:7" x14ac:dyDescent="0.25">
      <c r="A274">
        <v>282</v>
      </c>
      <c r="B274" s="1">
        <v>45347</v>
      </c>
      <c r="C274" t="s">
        <v>17</v>
      </c>
      <c r="D274" t="s">
        <v>9</v>
      </c>
      <c r="E274">
        <v>2</v>
      </c>
      <c r="F274" s="2">
        <v>500</v>
      </c>
      <c r="G274" s="2">
        <v>1000</v>
      </c>
    </row>
    <row r="275" spans="1:7" x14ac:dyDescent="0.25">
      <c r="A275">
        <v>283</v>
      </c>
      <c r="B275" s="1">
        <v>45367</v>
      </c>
      <c r="C275" t="s">
        <v>17</v>
      </c>
      <c r="D275" t="s">
        <v>9</v>
      </c>
      <c r="E275">
        <v>5</v>
      </c>
      <c r="F275" s="2">
        <v>500</v>
      </c>
      <c r="G275" s="2">
        <v>2500</v>
      </c>
    </row>
    <row r="276" spans="1:7" x14ac:dyDescent="0.25">
      <c r="A276">
        <v>284</v>
      </c>
      <c r="B276" s="1">
        <v>45573</v>
      </c>
      <c r="C276" t="s">
        <v>19</v>
      </c>
      <c r="D276" t="s">
        <v>12</v>
      </c>
      <c r="E276">
        <v>4</v>
      </c>
      <c r="F276" s="2">
        <v>200</v>
      </c>
      <c r="G276" s="2">
        <v>800</v>
      </c>
    </row>
    <row r="277" spans="1:7" x14ac:dyDescent="0.25">
      <c r="A277">
        <v>285</v>
      </c>
      <c r="B277" s="1">
        <v>45608</v>
      </c>
      <c r="C277" t="s">
        <v>8</v>
      </c>
      <c r="D277" t="s">
        <v>9</v>
      </c>
      <c r="E277">
        <v>5</v>
      </c>
      <c r="F277" s="2">
        <v>300</v>
      </c>
      <c r="G277" s="2">
        <v>1500</v>
      </c>
    </row>
    <row r="278" spans="1:7" x14ac:dyDescent="0.25">
      <c r="A278">
        <v>286</v>
      </c>
      <c r="B278" s="1">
        <v>45477</v>
      </c>
      <c r="C278" t="s">
        <v>8</v>
      </c>
      <c r="D278" t="s">
        <v>9</v>
      </c>
      <c r="E278">
        <v>2</v>
      </c>
      <c r="F278" s="2">
        <v>300</v>
      </c>
      <c r="G278" s="2">
        <v>600</v>
      </c>
    </row>
    <row r="279" spans="1:7" x14ac:dyDescent="0.25">
      <c r="A279">
        <v>287</v>
      </c>
      <c r="B279" s="1">
        <v>45483</v>
      </c>
      <c r="C279" t="s">
        <v>8</v>
      </c>
      <c r="D279" t="s">
        <v>9</v>
      </c>
      <c r="E279">
        <v>3</v>
      </c>
      <c r="F279" s="2">
        <v>300</v>
      </c>
      <c r="G279" s="2">
        <v>900</v>
      </c>
    </row>
    <row r="280" spans="1:7" x14ac:dyDescent="0.25">
      <c r="A280">
        <v>288</v>
      </c>
      <c r="B280" s="1">
        <v>45447</v>
      </c>
      <c r="C280" t="s">
        <v>27</v>
      </c>
      <c r="D280" t="s">
        <v>9</v>
      </c>
      <c r="E280">
        <v>3</v>
      </c>
      <c r="F280" s="2">
        <v>800</v>
      </c>
      <c r="G280" s="2">
        <v>2400</v>
      </c>
    </row>
    <row r="281" spans="1:7" x14ac:dyDescent="0.25">
      <c r="A281">
        <v>289</v>
      </c>
      <c r="B281" s="1">
        <v>45448</v>
      </c>
      <c r="C281" t="s">
        <v>8</v>
      </c>
      <c r="D281" t="s">
        <v>9</v>
      </c>
      <c r="E281">
        <v>2</v>
      </c>
      <c r="F281" s="2">
        <v>300</v>
      </c>
      <c r="G281" s="2">
        <v>600</v>
      </c>
    </row>
    <row r="282" spans="1:7" x14ac:dyDescent="0.25">
      <c r="A282">
        <v>290</v>
      </c>
      <c r="B282" s="1">
        <v>45610</v>
      </c>
      <c r="C282" t="s">
        <v>19</v>
      </c>
      <c r="D282" t="s">
        <v>12</v>
      </c>
      <c r="E282">
        <v>1</v>
      </c>
      <c r="F282" s="2">
        <v>200</v>
      </c>
      <c r="G282" s="2">
        <v>200</v>
      </c>
    </row>
    <row r="283" spans="1:7" x14ac:dyDescent="0.25">
      <c r="A283">
        <v>291</v>
      </c>
      <c r="B283" s="1">
        <v>45590</v>
      </c>
      <c r="C283" t="s">
        <v>27</v>
      </c>
      <c r="D283" t="s">
        <v>9</v>
      </c>
      <c r="E283">
        <v>4</v>
      </c>
      <c r="F283" s="2">
        <v>800</v>
      </c>
      <c r="G283" s="2">
        <v>3200</v>
      </c>
    </row>
    <row r="284" spans="1:7" x14ac:dyDescent="0.25">
      <c r="A284">
        <v>293</v>
      </c>
      <c r="B284" s="1">
        <v>45475</v>
      </c>
      <c r="C284" t="s">
        <v>17</v>
      </c>
      <c r="D284" t="s">
        <v>9</v>
      </c>
      <c r="E284">
        <v>2</v>
      </c>
      <c r="F284" s="2">
        <v>500</v>
      </c>
      <c r="G284" s="2">
        <v>1000</v>
      </c>
    </row>
    <row r="285" spans="1:7" x14ac:dyDescent="0.25">
      <c r="A285">
        <v>294</v>
      </c>
      <c r="B285" s="1">
        <v>45392</v>
      </c>
      <c r="C285" t="s">
        <v>14</v>
      </c>
      <c r="D285" t="s">
        <v>15</v>
      </c>
      <c r="E285">
        <v>3</v>
      </c>
      <c r="F285" s="2">
        <v>50</v>
      </c>
      <c r="G285" s="2">
        <v>150</v>
      </c>
    </row>
    <row r="286" spans="1:7" x14ac:dyDescent="0.25">
      <c r="A286">
        <v>295</v>
      </c>
      <c r="B286" s="1">
        <v>45482</v>
      </c>
      <c r="C286" t="s">
        <v>31</v>
      </c>
      <c r="D286" t="s">
        <v>15</v>
      </c>
      <c r="E286">
        <v>4</v>
      </c>
      <c r="F286" s="2">
        <v>30</v>
      </c>
      <c r="G286" s="2">
        <v>120</v>
      </c>
    </row>
    <row r="287" spans="1:7" x14ac:dyDescent="0.25">
      <c r="A287">
        <v>297</v>
      </c>
      <c r="B287" s="1">
        <v>45363</v>
      </c>
      <c r="C287" t="s">
        <v>14</v>
      </c>
      <c r="D287" t="s">
        <v>15</v>
      </c>
      <c r="E287">
        <v>1</v>
      </c>
      <c r="F287" s="2">
        <v>50</v>
      </c>
      <c r="G287" s="2">
        <v>50</v>
      </c>
    </row>
    <row r="288" spans="1:7" x14ac:dyDescent="0.25">
      <c r="A288">
        <v>298</v>
      </c>
      <c r="B288" s="1">
        <v>45484</v>
      </c>
      <c r="C288" t="s">
        <v>14</v>
      </c>
      <c r="D288" t="s">
        <v>15</v>
      </c>
      <c r="E288">
        <v>1</v>
      </c>
      <c r="F288" s="2">
        <v>50</v>
      </c>
      <c r="G288" s="2">
        <v>50</v>
      </c>
    </row>
    <row r="289" spans="1:7" x14ac:dyDescent="0.25">
      <c r="A289">
        <v>299</v>
      </c>
      <c r="B289" s="1">
        <v>45561</v>
      </c>
      <c r="C289" t="s">
        <v>35</v>
      </c>
      <c r="D289" t="s">
        <v>15</v>
      </c>
      <c r="E289">
        <v>2</v>
      </c>
      <c r="F289" s="2">
        <v>20</v>
      </c>
      <c r="G289" s="2">
        <v>40</v>
      </c>
    </row>
    <row r="290" spans="1:7" x14ac:dyDescent="0.25">
      <c r="A290">
        <v>300</v>
      </c>
      <c r="B290" s="1">
        <v>45323</v>
      </c>
      <c r="C290" t="s">
        <v>19</v>
      </c>
      <c r="D290" t="s">
        <v>12</v>
      </c>
      <c r="E290">
        <v>5</v>
      </c>
      <c r="F290" s="2">
        <v>200</v>
      </c>
      <c r="G290" s="2">
        <v>1000</v>
      </c>
    </row>
    <row r="291" spans="1:7" x14ac:dyDescent="0.25">
      <c r="E291">
        <f>SUBTOTAL(109,Table1[quantity])</f>
        <v>853</v>
      </c>
      <c r="F291" s="4">
        <f>SUBTOTAL(109,Table1[unit_price])</f>
        <v>68330</v>
      </c>
      <c r="G291" s="4">
        <f>SUBTOTAL(109,Table1[sales_total])</f>
        <v>201370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854FA-AAED-4471-BDF4-B8B1EEFBE3AF}">
  <dimension ref="A2:O56"/>
  <sheetViews>
    <sheetView topLeftCell="A39" zoomScale="85" zoomScaleNormal="85" workbookViewId="0">
      <selection activeCell="F53" sqref="F53"/>
    </sheetView>
  </sheetViews>
  <sheetFormatPr defaultRowHeight="15" x14ac:dyDescent="0.25"/>
  <cols>
    <col min="1" max="1" width="13.28515625" bestFit="1" customWidth="1"/>
    <col min="2" max="2" width="16.7109375" bestFit="1" customWidth="1"/>
    <col min="3" max="3" width="15.140625" bestFit="1" customWidth="1"/>
    <col min="13" max="13" width="17.42578125" bestFit="1" customWidth="1"/>
    <col min="14" max="14" width="16.7109375" bestFit="1" customWidth="1"/>
    <col min="15" max="15" width="15.140625" bestFit="1" customWidth="1"/>
  </cols>
  <sheetData>
    <row r="2" spans="1:15" x14ac:dyDescent="0.25">
      <c r="A2" s="8" t="s">
        <v>248</v>
      </c>
    </row>
    <row r="3" spans="1:15" x14ac:dyDescent="0.25">
      <c r="A3" s="5" t="s">
        <v>232</v>
      </c>
      <c r="B3" t="s">
        <v>231</v>
      </c>
    </row>
    <row r="4" spans="1:15" x14ac:dyDescent="0.25">
      <c r="A4" s="6" t="s">
        <v>234</v>
      </c>
      <c r="B4" s="3">
        <v>10560</v>
      </c>
    </row>
    <row r="5" spans="1:15" x14ac:dyDescent="0.25">
      <c r="A5" s="6" t="s">
        <v>235</v>
      </c>
      <c r="B5" s="3">
        <v>15100</v>
      </c>
    </row>
    <row r="6" spans="1:15" ht="15.75" x14ac:dyDescent="0.25">
      <c r="A6" s="6" t="s">
        <v>236</v>
      </c>
      <c r="B6" s="3">
        <v>25390</v>
      </c>
      <c r="M6" s="9" t="s">
        <v>253</v>
      </c>
    </row>
    <row r="7" spans="1:15" x14ac:dyDescent="0.25">
      <c r="A7" s="6" t="s">
        <v>237</v>
      </c>
      <c r="B7" s="3">
        <v>27440</v>
      </c>
      <c r="M7" t="s">
        <v>231</v>
      </c>
      <c r="N7" t="s">
        <v>247</v>
      </c>
      <c r="O7" t="s">
        <v>246</v>
      </c>
    </row>
    <row r="8" spans="1:15" x14ac:dyDescent="0.25">
      <c r="A8" s="6" t="s">
        <v>238</v>
      </c>
      <c r="B8" s="3">
        <v>9120</v>
      </c>
      <c r="M8" s="3">
        <v>201370</v>
      </c>
      <c r="N8">
        <v>289</v>
      </c>
      <c r="O8">
        <v>853</v>
      </c>
    </row>
    <row r="9" spans="1:15" x14ac:dyDescent="0.25">
      <c r="A9" s="6" t="s">
        <v>239</v>
      </c>
      <c r="B9" s="3">
        <v>12450</v>
      </c>
    </row>
    <row r="10" spans="1:15" x14ac:dyDescent="0.25">
      <c r="A10" s="6" t="s">
        <v>240</v>
      </c>
      <c r="B10" s="3">
        <v>15670</v>
      </c>
    </row>
    <row r="11" spans="1:15" x14ac:dyDescent="0.25">
      <c r="A11" s="6" t="s">
        <v>241</v>
      </c>
      <c r="B11" s="3">
        <v>11180</v>
      </c>
    </row>
    <row r="12" spans="1:15" x14ac:dyDescent="0.25">
      <c r="A12" s="6" t="s">
        <v>242</v>
      </c>
      <c r="B12" s="3">
        <v>13240</v>
      </c>
    </row>
    <row r="13" spans="1:15" x14ac:dyDescent="0.25">
      <c r="A13" s="6" t="s">
        <v>243</v>
      </c>
      <c r="B13" s="3">
        <v>11350</v>
      </c>
    </row>
    <row r="14" spans="1:15" x14ac:dyDescent="0.25">
      <c r="A14" s="6" t="s">
        <v>244</v>
      </c>
      <c r="B14" s="3">
        <v>27900</v>
      </c>
    </row>
    <row r="15" spans="1:15" x14ac:dyDescent="0.25">
      <c r="A15" s="6" t="s">
        <v>245</v>
      </c>
      <c r="B15" s="3">
        <v>21970</v>
      </c>
    </row>
    <row r="16" spans="1:15" x14ac:dyDescent="0.25">
      <c r="A16" s="6" t="s">
        <v>233</v>
      </c>
      <c r="B16" s="7">
        <v>201370</v>
      </c>
    </row>
    <row r="18" spans="1:2" x14ac:dyDescent="0.25">
      <c r="A18" s="8" t="s">
        <v>249</v>
      </c>
    </row>
    <row r="19" spans="1:2" x14ac:dyDescent="0.25">
      <c r="A19" s="5" t="s">
        <v>232</v>
      </c>
      <c r="B19" t="s">
        <v>231</v>
      </c>
    </row>
    <row r="20" spans="1:2" x14ac:dyDescent="0.25">
      <c r="A20" s="6" t="s">
        <v>9</v>
      </c>
      <c r="B20" s="3">
        <v>150400</v>
      </c>
    </row>
    <row r="21" spans="1:2" x14ac:dyDescent="0.25">
      <c r="A21" s="6" t="s">
        <v>12</v>
      </c>
      <c r="B21" s="3">
        <v>40480</v>
      </c>
    </row>
    <row r="22" spans="1:2" x14ac:dyDescent="0.25">
      <c r="A22" s="6" t="s">
        <v>15</v>
      </c>
      <c r="B22" s="3">
        <v>10490</v>
      </c>
    </row>
    <row r="23" spans="1:2" x14ac:dyDescent="0.25">
      <c r="A23" s="6" t="s">
        <v>233</v>
      </c>
      <c r="B23" s="7">
        <v>201370</v>
      </c>
    </row>
    <row r="25" spans="1:2" x14ac:dyDescent="0.25">
      <c r="A25" s="8" t="s">
        <v>250</v>
      </c>
    </row>
    <row r="26" spans="1:2" x14ac:dyDescent="0.25">
      <c r="A26" s="5" t="s">
        <v>232</v>
      </c>
      <c r="B26" t="s">
        <v>231</v>
      </c>
    </row>
    <row r="27" spans="1:2" x14ac:dyDescent="0.25">
      <c r="A27" s="6" t="s">
        <v>35</v>
      </c>
      <c r="B27" s="3">
        <v>1980</v>
      </c>
    </row>
    <row r="28" spans="1:2" x14ac:dyDescent="0.25">
      <c r="A28" s="6" t="s">
        <v>31</v>
      </c>
      <c r="B28" s="3">
        <v>3960</v>
      </c>
    </row>
    <row r="29" spans="1:2" x14ac:dyDescent="0.25">
      <c r="A29" s="6" t="s">
        <v>14</v>
      </c>
      <c r="B29" s="3">
        <v>4550</v>
      </c>
    </row>
    <row r="30" spans="1:2" x14ac:dyDescent="0.25">
      <c r="A30" s="6" t="s">
        <v>11</v>
      </c>
      <c r="B30" s="3">
        <v>11280</v>
      </c>
    </row>
    <row r="31" spans="1:2" x14ac:dyDescent="0.25">
      <c r="A31" s="6" t="s">
        <v>8</v>
      </c>
      <c r="B31" s="3">
        <v>29100</v>
      </c>
    </row>
    <row r="32" spans="1:2" x14ac:dyDescent="0.25">
      <c r="A32" s="6" t="s">
        <v>19</v>
      </c>
      <c r="B32" s="3">
        <v>29200</v>
      </c>
    </row>
    <row r="33" spans="1:2" x14ac:dyDescent="0.25">
      <c r="A33" s="6" t="s">
        <v>17</v>
      </c>
      <c r="B33" s="3">
        <v>56500</v>
      </c>
    </row>
    <row r="34" spans="1:2" x14ac:dyDescent="0.25">
      <c r="A34" s="6" t="s">
        <v>27</v>
      </c>
      <c r="B34" s="3">
        <v>64800</v>
      </c>
    </row>
    <row r="35" spans="1:2" x14ac:dyDescent="0.25">
      <c r="A35" s="6" t="s">
        <v>233</v>
      </c>
      <c r="B35" s="7">
        <v>201370</v>
      </c>
    </row>
    <row r="37" spans="1:2" x14ac:dyDescent="0.25">
      <c r="A37" s="8" t="s">
        <v>251</v>
      </c>
    </row>
    <row r="38" spans="1:2" x14ac:dyDescent="0.25">
      <c r="A38" s="5" t="s">
        <v>232</v>
      </c>
      <c r="B38" t="s">
        <v>246</v>
      </c>
    </row>
    <row r="39" spans="1:2" x14ac:dyDescent="0.25">
      <c r="A39" s="6" t="s">
        <v>15</v>
      </c>
      <c r="B39">
        <v>322</v>
      </c>
    </row>
    <row r="40" spans="1:2" x14ac:dyDescent="0.25">
      <c r="A40" s="6" t="s">
        <v>9</v>
      </c>
      <c r="B40">
        <v>291</v>
      </c>
    </row>
    <row r="41" spans="1:2" x14ac:dyDescent="0.25">
      <c r="A41" s="6" t="s">
        <v>12</v>
      </c>
      <c r="B41">
        <v>240</v>
      </c>
    </row>
    <row r="42" spans="1:2" x14ac:dyDescent="0.25">
      <c r="A42" s="6" t="s">
        <v>233</v>
      </c>
      <c r="B42">
        <v>853</v>
      </c>
    </row>
    <row r="51" spans="1:2" x14ac:dyDescent="0.25">
      <c r="A51" s="8" t="s">
        <v>252</v>
      </c>
    </row>
    <row r="52" spans="1:2" x14ac:dyDescent="0.25">
      <c r="A52" s="5" t="s">
        <v>232</v>
      </c>
      <c r="B52" t="s">
        <v>247</v>
      </c>
    </row>
    <row r="53" spans="1:2" x14ac:dyDescent="0.25">
      <c r="A53" s="6" t="s">
        <v>15</v>
      </c>
      <c r="B53">
        <v>112</v>
      </c>
    </row>
    <row r="54" spans="1:2" x14ac:dyDescent="0.25">
      <c r="A54" s="6" t="s">
        <v>9</v>
      </c>
      <c r="B54">
        <v>97</v>
      </c>
    </row>
    <row r="55" spans="1:2" x14ac:dyDescent="0.25">
      <c r="A55" s="6" t="s">
        <v>12</v>
      </c>
      <c r="B55">
        <v>80</v>
      </c>
    </row>
    <row r="56" spans="1:2" x14ac:dyDescent="0.25">
      <c r="A56" s="6" t="s">
        <v>233</v>
      </c>
      <c r="B56">
        <v>289</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E4C4D-EB49-4823-A0AE-08818157A0D5}">
  <dimension ref="AU3:AU14"/>
  <sheetViews>
    <sheetView showGridLines="0" showRowColHeaders="0" tabSelected="1" zoomScale="72" zoomScaleNormal="72" workbookViewId="0">
      <selection activeCell="AJ26" sqref="AJ26"/>
    </sheetView>
  </sheetViews>
  <sheetFormatPr defaultRowHeight="15" x14ac:dyDescent="0.25"/>
  <cols>
    <col min="21" max="21" width="13.85546875" bestFit="1" customWidth="1"/>
    <col min="47" max="47" width="13.85546875" bestFit="1" customWidth="1"/>
  </cols>
  <sheetData>
    <row r="3" spans="47:47" x14ac:dyDescent="0.25">
      <c r="AU3" s="7"/>
    </row>
    <row r="14" spans="47:47" hidden="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014816-89B5-4FBD-9F84-9F5EBE963B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CLEAN sales_data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Princewill Sunnyotalor</cp:lastModifiedBy>
  <dcterms:created xsi:type="dcterms:W3CDTF">2026-04-07T05:35:11Z</dcterms:created>
  <dcterms:modified xsi:type="dcterms:W3CDTF">2026-04-18T14:18:32Z</dcterms:modified>
</cp:coreProperties>
</file>